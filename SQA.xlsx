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 C Sinchana\Downloads\"/>
    </mc:Choice>
  </mc:AlternateContent>
  <xr:revisionPtr revIDLastSave="0" documentId="13_ncr:1_{0B68F5FE-F88E-4F44-89AE-19C9A64042E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efect Form" sheetId="1" r:id="rId1"/>
    <sheet name="Quality Plans" sheetId="2" r:id="rId2"/>
    <sheet name="Reviews" sheetId="3" r:id="rId3"/>
    <sheet name="Tests" sheetId="4" r:id="rId4"/>
    <sheet name="Documents" sheetId="5" r:id="rId5"/>
    <sheet name="CAPA" sheetId="6" r:id="rId6"/>
    <sheet name="Summary" sheetId="7" r:id="rId7"/>
    <sheet name="Lists" sheetId="8" r:id="rId8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7" l="1"/>
  <c r="B18" i="7"/>
  <c r="B17" i="7"/>
  <c r="B16" i="7"/>
  <c r="B15" i="7"/>
  <c r="B14" i="7"/>
  <c r="B13" i="7"/>
  <c r="E12" i="7"/>
  <c r="B12" i="7"/>
  <c r="E11" i="7"/>
  <c r="B11" i="7"/>
  <c r="E10" i="7"/>
  <c r="B10" i="7"/>
  <c r="E9" i="7"/>
  <c r="B9" i="7"/>
  <c r="E8" i="7"/>
  <c r="B8" i="7"/>
  <c r="E7" i="7"/>
  <c r="B7" i="7"/>
  <c r="E6" i="7"/>
  <c r="B6" i="7"/>
  <c r="E5" i="7"/>
  <c r="B5" i="7"/>
  <c r="E4" i="7"/>
  <c r="B4" i="7"/>
</calcChain>
</file>

<file path=xl/sharedStrings.xml><?xml version="1.0" encoding="utf-8"?>
<sst xmlns="http://schemas.openxmlformats.org/spreadsheetml/2006/main" count="791" uniqueCount="433">
  <si>
    <t>Defect Title</t>
  </si>
  <si>
    <t>Category</t>
  </si>
  <si>
    <t>Severity</t>
  </si>
  <si>
    <t>Component / Interface</t>
  </si>
  <si>
    <t>Description</t>
  </si>
  <si>
    <t>Assigned Owner</t>
  </si>
  <si>
    <t>Status</t>
  </si>
  <si>
    <t>Detected After Release?</t>
  </si>
  <si>
    <t>Date Detected</t>
  </si>
  <si>
    <t>Reopened?</t>
  </si>
  <si>
    <t>Delivery status not synchronized after network retry</t>
  </si>
  <si>
    <t>Integration</t>
  </si>
  <si>
    <t>High</t>
  </si>
  <si>
    <t>Driver ↔ Tracking API</t>
  </si>
  <si>
    <t>A temporary network interruption leaves the central delivery status stale.</t>
  </si>
  <si>
    <t>Integration Developer</t>
  </si>
  <si>
    <t>In Progress</t>
  </si>
  <si>
    <t>No</t>
  </si>
  <si>
    <t>Customer notification displays stale status</t>
  </si>
  <si>
    <t>Notification</t>
  </si>
  <si>
    <t>Medium</t>
  </si>
  <si>
    <t>Tracking → Notifications</t>
  </si>
  <si>
    <t>Notification event may be emitted before the latest status is committed.</t>
  </si>
  <si>
    <t>Backend Developer</t>
  </si>
  <si>
    <t>Open</t>
  </si>
  <si>
    <t>Yes</t>
  </si>
  <si>
    <t>Invalid driver reference accepted by assignment API</t>
  </si>
  <si>
    <t>Data accuracy</t>
  </si>
  <si>
    <t>Critical</t>
  </si>
  <si>
    <t>Order → Driver Assignment</t>
  </si>
  <si>
    <t>Assignment validation did not reject an unknown driver identifier.</t>
  </si>
  <si>
    <t>API Developer</t>
  </si>
  <si>
    <t>Route not updated when a delivery is reassigned</t>
  </si>
  <si>
    <t>Functional</t>
  </si>
  <si>
    <t>Order → Route Planning</t>
  </si>
  <si>
    <t>After a delivery is moved to another driver, the old route still shows the delivery.</t>
  </si>
  <si>
    <t>Delivery time shown in wrong time zone</t>
  </si>
  <si>
    <t>Low</t>
  </si>
  <si>
    <t>Tracking → Customer App</t>
  </si>
  <si>
    <t>Estimated delivery time is displayed in server time instead of the customer's local time.</t>
  </si>
  <si>
    <t>Frontend Developer</t>
  </si>
  <si>
    <t>Driver app slow to load assigned orders</t>
  </si>
  <si>
    <t>Performance</t>
  </si>
  <si>
    <t>Driver App ↔ Order API</t>
  </si>
  <si>
    <t>Order list takes more than 8 seconds to load when a driver has over 30 assigned deliveries.</t>
  </si>
  <si>
    <t>Fixed - Verification Pending</t>
  </si>
  <si>
    <t>Duplicate notification sent on repeated status event</t>
  </si>
  <si>
    <t>Customer receives two messages when the same delivery status event arrives twice.</t>
  </si>
  <si>
    <t>Closed</t>
  </si>
  <si>
    <t>Session stays active after driver logout</t>
  </si>
  <si>
    <t>Security</t>
  </si>
  <si>
    <t>Driver App ↔ Auth Service</t>
  </si>
  <si>
    <t>Driver token is not cleared on logout, so the session can still call the tracking API.</t>
  </si>
  <si>
    <t>Order total changes after item quantity update</t>
  </si>
  <si>
    <t>Order Service → Pricing API</t>
  </si>
  <si>
    <t>Changing an item quantity updates the order total inconsistently when the pricing response is delayed.</t>
  </si>
  <si>
    <t>Route optimization ignores restricted delivery zone</t>
  </si>
  <si>
    <t>Route Planning → Map Service</t>
  </si>
  <si>
    <t>The generated route can include a restricted road even though the restriction is present in the route configuration.</t>
  </si>
  <si>
    <t>Route Developer</t>
  </si>
  <si>
    <t>Tracking map shows driver at previous location</t>
  </si>
  <si>
    <t>Reliability</t>
  </si>
  <si>
    <t>Driver App → Tracking Service</t>
  </si>
  <si>
    <t>The customer tracking view continues showing the previous driver location after a successful location update.</t>
  </si>
  <si>
    <t>Tracking Developer</t>
  </si>
  <si>
    <t>Unauthorized user can access delivery details</t>
  </si>
  <si>
    <t>Customer Portal → Authorization Service</t>
  </si>
  <si>
    <t>A direct delivery-detail request is accepted without verifying that the authenticated customer owns the delivery.</t>
  </si>
  <si>
    <t>Security Developer</t>
  </si>
  <si>
    <t>CSV order import accepts invalid delivery date</t>
  </si>
  <si>
    <t>Order Import → Validation Service</t>
  </si>
  <si>
    <t>The import process accepts malformed delivery dates and creates orders with an invalid schedule.</t>
  </si>
  <si>
    <t>Data Engineer</t>
  </si>
  <si>
    <t>Delivery completion fails when notification service is unavailable</t>
  </si>
  <si>
    <t>Completing a delivery fails when the notification service times out instead of completing the delivery and retrying notification separately.</t>
  </si>
  <si>
    <t>Search returns duplicate orders</t>
  </si>
  <si>
    <t>Order Management → Search API</t>
  </si>
  <si>
    <t>Searching by customer name can display the same order more than once when multiple matching indexes are returned.</t>
  </si>
  <si>
    <t>Driver availability status not refreshed after shift end</t>
  </si>
  <si>
    <t>Driver App → Driver Management</t>
  </si>
  <si>
    <t>A driver who ends a shift remains available for new assignments until the application is manually refreshed.</t>
  </si>
  <si>
    <t>API returns generic error for invalid order ID</t>
  </si>
  <si>
    <t>Usability</t>
  </si>
  <si>
    <t>Order API → Customer Portal</t>
  </si>
  <si>
    <t>An invalid order identifier returns a generic server error instead of a clear validation response.</t>
  </si>
  <si>
    <t>Fixed route assignment defect reappears after deployment</t>
  </si>
  <si>
    <t>Maintainability</t>
  </si>
  <si>
    <t>Route Planning → Assignment Service</t>
  </si>
  <si>
    <t>A previously corrected route-assignment issue reappeared after a new deployment because the regression scenario was not included in the release suite.</t>
  </si>
  <si>
    <t>QA Engineer</t>
  </si>
  <si>
    <t>Quality Plans</t>
  </si>
  <si>
    <t>Plan</t>
  </si>
  <si>
    <t>Objective</t>
  </si>
  <si>
    <t>Quality Factor</t>
  </si>
  <si>
    <t>Acceptance Criteria</t>
  </si>
  <si>
    <t>Owner</t>
  </si>
  <si>
    <t>Delivery status synchronization (DEF-001)</t>
  </si>
  <si>
    <t>Ensure delivery status remains synchronized after retry.</t>
  </si>
  <si>
    <t>Retry and recovery tests pass with no stale status.</t>
  </si>
  <si>
    <t>Quality Manager</t>
  </si>
  <si>
    <t>In Review</t>
  </si>
  <si>
    <t>Customer notification accuracy (DEF-002, DEF-007, DEF-014)</t>
  </si>
  <si>
    <t>Ensure notifications use the latest status and tolerate repeated/time-out events.</t>
  </si>
  <si>
    <t>Correct status sent once; delivery completion is not blocked by notification failure.</t>
  </si>
  <si>
    <t>QA Lead</t>
  </si>
  <si>
    <t>Driver assignment validation (DEF-003)</t>
  </si>
  <si>
    <t>Reject unknown driver references before assignment.</t>
  </si>
  <si>
    <t>Invalid driver references are rejected in all validation tests.</t>
  </si>
  <si>
    <t>API Lead</t>
  </si>
  <si>
    <t>Approved</t>
  </si>
  <si>
    <t>Route reassignment integrity (DEF-004, DEF-018)</t>
  </si>
  <si>
    <t>Keep route assignments consistent after reassignment and deployment.</t>
  </si>
  <si>
    <t>Reassignment remains correct in regression testing.</t>
  </si>
  <si>
    <t>Route Lead</t>
  </si>
  <si>
    <t>Customer time display (DEF-005)</t>
  </si>
  <si>
    <t>Display delivery times using the customer local time zone.</t>
  </si>
  <si>
    <t>Displayed time matches configured customer time zone.</t>
  </si>
  <si>
    <t>Frontend Lead</t>
  </si>
  <si>
    <t>Driver application performance (DEF-006)</t>
  </si>
  <si>
    <t>Keep assigned-order loading within an acceptable response time.</t>
  </si>
  <si>
    <t>Efficiency</t>
  </si>
  <si>
    <t>Assigned-order screen meets agreed response-time target.</t>
  </si>
  <si>
    <t>Performance Lead</t>
  </si>
  <si>
    <t>Driver session security (DEF-008)</t>
  </si>
  <si>
    <t>Terminate driver access after logout.</t>
  </si>
  <si>
    <t>Logged-out tokens cannot access protected tracking functions.</t>
  </si>
  <si>
    <t>Security Lead</t>
  </si>
  <si>
    <t>Order pricing consistency (DEF-009)</t>
  </si>
  <si>
    <t>Keep order totals correct when quantity changes and pricing responses are delayed.</t>
  </si>
  <si>
    <t>Order total remains consistent after quantity updates.</t>
  </si>
  <si>
    <t>Backend Lead</t>
  </si>
  <si>
    <t>Restricted route compliance (DEF-010)</t>
  </si>
  <si>
    <t>Prevent route generation through configured restricted zones.</t>
  </si>
  <si>
    <t>Acceptance routes exclude restricted roads.</t>
  </si>
  <si>
    <t>Tracking location freshness (DEF-011)</t>
  </si>
  <si>
    <t>Show the latest driver location after successful updates.</t>
  </si>
  <si>
    <t>Customer tracking displays the latest location without stale cache.</t>
  </si>
  <si>
    <t>Tracking Lead</t>
  </si>
  <si>
    <t>Delivery authorization (DEF-012)</t>
  </si>
  <si>
    <t>Prevent customers from accessing another customer’s delivery details.</t>
  </si>
  <si>
    <t>Unauthorized delivery requests are rejected.</t>
  </si>
  <si>
    <t>Order import validation (DEF-013)</t>
  </si>
  <si>
    <t>Reject malformed delivery dates during CSV import.</t>
  </si>
  <si>
    <t>Invalid dates are rejected before order creation.</t>
  </si>
  <si>
    <t>Data Lead</t>
  </si>
  <si>
    <t>Order search uniqueness (DEF-015)</t>
  </si>
  <si>
    <t>Ensure each matching order appears once in search results.</t>
  </si>
  <si>
    <t>No duplicate order appears for a single order ID.</t>
  </si>
  <si>
    <t>Driver availability synchronization (DEF-016)</t>
  </si>
  <si>
    <t>Update driver availability immediately after shift end.</t>
  </si>
  <si>
    <t>Interoperability</t>
  </si>
  <si>
    <t>Shift-end status is reflected without manual refresh.</t>
  </si>
  <si>
    <t>Integration Lead</t>
  </si>
  <si>
    <t>API validation response (DEF-017)</t>
  </si>
  <si>
    <t>Return a clear validation response for invalid order IDs.</t>
  </si>
  <si>
    <t>Invalid IDs return the documented validation response.</t>
  </si>
  <si>
    <t>Release regression control (DEF-018)</t>
  </si>
  <si>
    <t>Prevent fixed route defects from returning in releases.</t>
  </si>
  <si>
    <t>Historical high/critical route scenarios are included in regression gates.</t>
  </si>
  <si>
    <t>QA Manager</t>
  </si>
  <si>
    <t>Reviews &amp; Verification</t>
  </si>
  <si>
    <t>Review Type</t>
  </si>
  <si>
    <t>Artifact</t>
  </si>
  <si>
    <t>Reviewer</t>
  </si>
  <si>
    <t>Date</t>
  </si>
  <si>
    <t>Findings</t>
  </si>
  <si>
    <t>Requirements Review</t>
  </si>
  <si>
    <t>Delivery status retry requirement – DEF-001</t>
  </si>
  <si>
    <t>A. Kumar</t>
  </si>
  <si>
    <t>Retry behavior needs explicit recovery rule.</t>
  </si>
  <si>
    <t>Completed</t>
  </si>
  <si>
    <t>Design Review</t>
  </si>
  <si>
    <t>Notification event flow – DEF-002/007/014</t>
  </si>
  <si>
    <t>S. Rao</t>
  </si>
  <si>
    <t>Separate notification failure from delivery completion.</t>
  </si>
  <si>
    <t>Code Review</t>
  </si>
  <si>
    <t>Driver assignment validation – DEF-003</t>
  </si>
  <si>
    <t>M. Arya</t>
  </si>
  <si>
    <t>Unknown driver reference must be rejected before persistence.</t>
  </si>
  <si>
    <t>Route reassignment flow – DEF-004/018</t>
  </si>
  <si>
    <t>Add regression scenario for reassignment after deployment.</t>
  </si>
  <si>
    <t>Customer time-zone display – DEF-005</t>
  </si>
  <si>
    <t>Confirm source and conversion rule for customer time zone.</t>
  </si>
  <si>
    <t>Performance Review</t>
  </si>
  <si>
    <t>Driver order loading – DEF-006</t>
  </si>
  <si>
    <t>P. Nair</t>
  </si>
  <si>
    <t>Review response time with more than 30 assigned deliveries.</t>
  </si>
  <si>
    <t>Security Review</t>
  </si>
  <si>
    <t>Driver logout/session invalidation – DEF-008</t>
  </si>
  <si>
    <t>R. Singh</t>
  </si>
  <si>
    <t>Confirm token invalidation after logout.</t>
  </si>
  <si>
    <t>Pricing response handling – DEF-009</t>
  </si>
  <si>
    <t>Review delayed pricing response and total calculation.</t>
  </si>
  <si>
    <t>Pending</t>
  </si>
  <si>
    <t>Restricted-zone routing – DEF-010</t>
  </si>
  <si>
    <t>Restriction filter must be applied before route selection.</t>
  </si>
  <si>
    <t>Tracking cache update – DEF-011</t>
  </si>
  <si>
    <t>Verify stale location cache invalidation.</t>
  </si>
  <si>
    <t>Delivery ownership authorization – DEF-012</t>
  </si>
  <si>
    <t>Verify authenticated customer owns requested delivery.</t>
  </si>
  <si>
    <t>CSV date validation – DEF-013</t>
  </si>
  <si>
    <t>Define accepted delivery-date format and rejection behavior.</t>
  </si>
  <si>
    <t>Test Review</t>
  </si>
  <si>
    <t>Search uniqueness – DEF-015</t>
  </si>
  <si>
    <t>Add duplicate-result assertion.</t>
  </si>
  <si>
    <t>Integration Review</t>
  </si>
  <si>
    <t>Driver shift-end status – DEF-016</t>
  </si>
  <si>
    <t>Verify server-side availability update.</t>
  </si>
  <si>
    <t>API Review</t>
  </si>
  <si>
    <t>Invalid order ID response – DEF-017</t>
  </si>
  <si>
    <t>Confirm documented 400 validation response.</t>
  </si>
  <si>
    <t>Release Verification</t>
  </si>
  <si>
    <t>Route regression – DEF-018</t>
  </si>
  <si>
    <t>Historical defect must be included in release suite.</t>
  </si>
  <si>
    <t>Test Management</t>
  </si>
  <si>
    <t>Test Case</t>
  </si>
  <si>
    <t>Component</t>
  </si>
  <si>
    <t>Type</t>
  </si>
  <si>
    <t>Expected Result</t>
  </si>
  <si>
    <t>Actual Result</t>
  </si>
  <si>
    <t>Result</t>
  </si>
  <si>
    <t>TC-001 DEF-001 Retry synchronization</t>
  </si>
  <si>
    <t>Central status matches latest driver status after retry.</t>
  </si>
  <si>
    <t>Central status remains stale after retry.</t>
  </si>
  <si>
    <t>Failed</t>
  </si>
  <si>
    <t>TC-002 DEF-002 Notification status</t>
  </si>
  <si>
    <t>Notification contains latest committed status.</t>
  </si>
  <si>
    <t>Notification can contain stale status.</t>
  </si>
  <si>
    <t>TC-003 DEF-003 Invalid driver reference</t>
  </si>
  <si>
    <t>System</t>
  </si>
  <si>
    <t>Unknown driver ID is rejected.</t>
  </si>
  <si>
    <t>Unknown driver ID was accepted.</t>
  </si>
  <si>
    <t>TC-004 DEF-004 Route reassignment</t>
  </si>
  <si>
    <t>Old route removes reassigned delivery.</t>
  </si>
  <si>
    <t>Old route still shows delivery.</t>
  </si>
  <si>
    <t>TC-005 DEF-005 Customer time zone</t>
  </si>
  <si>
    <t>Delivery time uses customer local time.</t>
  </si>
  <si>
    <t>Server time displayed.</t>
  </si>
  <si>
    <t>TC-006 DEF-006 Assigned-order load</t>
  </si>
  <si>
    <t>Order list loads within agreed target.</t>
  </si>
  <si>
    <t>Load time exceeds target with 30+ orders.</t>
  </si>
  <si>
    <t>TC-007 DEF-007 Duplicate notification</t>
  </si>
  <si>
    <t>Repeated status event produces one notification.</t>
  </si>
  <si>
    <t>Duplicate notification produced.</t>
  </si>
  <si>
    <t>TC-008 DEF-008 Logout session</t>
  </si>
  <si>
    <t>Logged-out token cannot call tracking API.</t>
  </si>
  <si>
    <t>Session can still call tracking API.</t>
  </si>
  <si>
    <t>TC-009 DEF-009 Quantity update total</t>
  </si>
  <si>
    <t>Total remains correct after delayed pricing response.</t>
  </si>
  <si>
    <t>Total becomes inconsistent.</t>
  </si>
  <si>
    <t>TC-010 DEF-010 Restricted zone</t>
  </si>
  <si>
    <t>Generated route excludes restricted road.</t>
  </si>
  <si>
    <t>Restricted road included.</t>
  </si>
  <si>
    <t>TC-011 DEF-011 Location refresh</t>
  </si>
  <si>
    <t>Latest location appears in customer view.</t>
  </si>
  <si>
    <t>Previous location remains visible.</t>
  </si>
  <si>
    <t>TC-012 DEF-012 Delivery authorization</t>
  </si>
  <si>
    <t>Other customer’s delivery is rejected.</t>
  </si>
  <si>
    <t>Unauthorized delivery request accepted.</t>
  </si>
  <si>
    <t>TC-013 DEF-013 Invalid delivery date</t>
  </si>
  <si>
    <t>Malformed date is rejected.</t>
  </si>
  <si>
    <t>Malformed date accepted.</t>
  </si>
  <si>
    <t>TC-014 DEF-014 Notification timeout</t>
  </si>
  <si>
    <t>Delivery completes and notification is retried.</t>
  </si>
  <si>
    <t>Delivery completion fails on notification timeout.</t>
  </si>
  <si>
    <t>TC-015 DEF-015 Duplicate search result</t>
  </si>
  <si>
    <t>Each order appears once.</t>
  </si>
  <si>
    <t>Duplicate result appears for same order.</t>
  </si>
  <si>
    <t>TC-016 DEF-016 Shift-end availability</t>
  </si>
  <si>
    <t>Driver becomes unavailable automatically after shift end.</t>
  </si>
  <si>
    <t>Driver remains available until refresh.</t>
  </si>
  <si>
    <t>TC-017 DEF-017 Invalid order ID</t>
  </si>
  <si>
    <t>Unit</t>
  </si>
  <si>
    <t>Invalid ID returns documented validation error.</t>
  </si>
  <si>
    <t>Generic server error returned.</t>
  </si>
  <si>
    <t>TC-018 DEF-018 Route regression</t>
  </si>
  <si>
    <t>Regression</t>
  </si>
  <si>
    <t>Fixed reassignment defect remains corrected after deployment.</t>
  </si>
  <si>
    <t>Defect reappears after deployment.</t>
  </si>
  <si>
    <t>Document &amp; Configuration Control</t>
  </si>
  <si>
    <t>Version</t>
  </si>
  <si>
    <t>Approval</t>
  </si>
  <si>
    <t>Change History</t>
  </si>
  <si>
    <t>Delivery Status Requirements – DEF-001</t>
  </si>
  <si>
    <t>Requirements</t>
  </si>
  <si>
    <t>1.1</t>
  </si>
  <si>
    <t>Business Analyst</t>
  </si>
  <si>
    <t>Added retry/recovery rule.</t>
  </si>
  <si>
    <t>Notification Event Rules – DEF-002/007/014</t>
  </si>
  <si>
    <t>Clarified status timing, duplicate handling and timeout behavior.</t>
  </si>
  <si>
    <t>Driver Assignment API Contract – DEF-003</t>
  </si>
  <si>
    <t>Interface Specification</t>
  </si>
  <si>
    <t>Added driver-reference validation rule.</t>
  </si>
  <si>
    <t>Route Reassignment Specification – DEF-004/018</t>
  </si>
  <si>
    <t>Design</t>
  </si>
  <si>
    <t>Added reassignment and regression requirements.</t>
  </si>
  <si>
    <t>Customer Time Display Requirement – DEF-005</t>
  </si>
  <si>
    <t>1.0</t>
  </si>
  <si>
    <t>Defined customer time-zone display rule.</t>
  </si>
  <si>
    <t>Driver Performance Test Plan – DEF-006</t>
  </si>
  <si>
    <t>Test Plan</t>
  </si>
  <si>
    <t>Added 30+ assigned-order scenario.</t>
  </si>
  <si>
    <t>Authentication Session Control – DEF-008</t>
  </si>
  <si>
    <t>Added logout token invalidation rule.</t>
  </si>
  <si>
    <t>Pricing Update Interface Contract – DEF-009</t>
  </si>
  <si>
    <t>Defined delayed-response handling.</t>
  </si>
  <si>
    <t>Route Restriction Configuration – DEF-010</t>
  </si>
  <si>
    <t>Configuration</t>
  </si>
  <si>
    <t>Documented restricted-zone rule.</t>
  </si>
  <si>
    <t>Tracking Location Refresh Specification – DEF-011</t>
  </si>
  <si>
    <t>Defined cache invalidation behavior.</t>
  </si>
  <si>
    <t>Delivery Authorization Test Plan – DEF-012</t>
  </si>
  <si>
    <t>Added delivery ownership checks.</t>
  </si>
  <si>
    <t>Order Import Validation Specification – DEF-013</t>
  </si>
  <si>
    <t>Defined valid delivery-date format.</t>
  </si>
  <si>
    <t>Search Result Validation – DEF-015</t>
  </si>
  <si>
    <t>Added duplicate-result validation.</t>
  </si>
  <si>
    <t>Driver Availability Integration Spec – DEF-016</t>
  </si>
  <si>
    <t>Defined shift-end synchronization.</t>
  </si>
  <si>
    <t>API Validation Error Contract – DEF-017</t>
  </si>
  <si>
    <t>Defined invalid order ID response.</t>
  </si>
  <si>
    <t>Release Regression Checklist – DEF-018</t>
  </si>
  <si>
    <t>Checklist</t>
  </si>
  <si>
    <t>Added historical route defect to release regression gate.</t>
  </si>
  <si>
    <t>Corrective &amp; Preventive Actions</t>
  </si>
  <si>
    <t>Problem</t>
  </si>
  <si>
    <t>Root Cause</t>
  </si>
  <si>
    <t>Corrective Action</t>
  </si>
  <si>
    <t>Preventive Action</t>
  </si>
  <si>
    <t>Due Date</t>
  </si>
  <si>
    <t>Verification</t>
  </si>
  <si>
    <t>DEF-001 Delivery status stale</t>
  </si>
  <si>
    <t>Retry/recovery behavior insufficiently specified.</t>
  </si>
  <si>
    <t>Implement retry and status reconciliation.</t>
  </si>
  <si>
    <t>Add network interruption regression test.</t>
  </si>
  <si>
    <t>Regression test pending</t>
  </si>
  <si>
    <t>DEF-002 Notification stale</t>
  </si>
  <si>
    <t>Notification emitted before latest status commit.</t>
  </si>
  <si>
    <t>Send notification from committed status.</t>
  </si>
  <si>
    <t>Add notification sequencing test.</t>
  </si>
  <si>
    <t>Verification pending</t>
  </si>
  <si>
    <t>DEF-003 Invalid driver reference</t>
  </si>
  <si>
    <t>Assignment validation missed unknown IDs.</t>
  </si>
  <si>
    <t>Reject unknown driver IDs.</t>
  </si>
  <si>
    <t>Add negative API validation cases.</t>
  </si>
  <si>
    <t>Retest pending</t>
  </si>
  <si>
    <t>DEF-004 Route not updated</t>
  </si>
  <si>
    <t>Reassignment did not update old route state.</t>
  </si>
  <si>
    <t>Synchronize route records during reassignment.</t>
  </si>
  <si>
    <t>Add reassignment regression case.</t>
  </si>
  <si>
    <t>Regression pending</t>
  </si>
  <si>
    <t>DEF-006 Slow driver app</t>
  </si>
  <si>
    <t>Large assigned-order response is inefficient.</t>
  </si>
  <si>
    <t>Optimize order retrieval and response handling.</t>
  </si>
  <si>
    <t>Add performance threshold to release tests.</t>
  </si>
  <si>
    <t>Performance retest pending</t>
  </si>
  <si>
    <t>DEF-008 Logout session active</t>
  </si>
  <si>
    <t>Token remained usable after logout.</t>
  </si>
  <si>
    <t>Invalidate token on logout.</t>
  </si>
  <si>
    <t>Add session invalidation security test.</t>
  </si>
  <si>
    <t>Security retest pending</t>
  </si>
  <si>
    <t>DEF-009 Inconsistent order total</t>
  </si>
  <si>
    <t>Delayed pricing response handled inconsistently.</t>
  </si>
  <si>
    <t>Reconcile total after pricing response.</t>
  </si>
  <si>
    <t>Add delayed-response test.</t>
  </si>
  <si>
    <t>DEF-010 Restricted road selected</t>
  </si>
  <si>
    <t>Route restriction not applied during optimization.</t>
  </si>
  <si>
    <t>Filter restricted roads before route generation.</t>
  </si>
  <si>
    <t>Add restricted-zone acceptance case.</t>
  </si>
  <si>
    <t>Route test pending</t>
  </si>
  <si>
    <t>DEF-012 Unauthorized delivery access</t>
  </si>
  <si>
    <t>Ownership validation missing.</t>
  </si>
  <si>
    <t>Validate customer ownership before returning details.</t>
  </si>
  <si>
    <t>Add authorization matrix tests.</t>
  </si>
  <si>
    <t>DEF-013 Invalid date accepted</t>
  </si>
  <si>
    <t>Import validation allowed malformed dates.</t>
  </si>
  <si>
    <t>Reject invalid dates before order creation.</t>
  </si>
  <si>
    <t>Add negative import validation cases.</t>
  </si>
  <si>
    <t>Test evidence pending</t>
  </si>
  <si>
    <t>DEF-014 Delivery blocked by notification timeout</t>
  </si>
  <si>
    <t>Notification failure coupled to delivery completion.</t>
  </si>
  <si>
    <t>Complete delivery independently and retry notification.</t>
  </si>
  <si>
    <t>Add notification outage test.</t>
  </si>
  <si>
    <t>Resilience test pending</t>
  </si>
  <si>
    <t>DEF-016 Availability stale</t>
  </si>
  <si>
    <t>Shift-end update depended on manual refresh.</t>
  </si>
  <si>
    <t>Trigger server-side availability update.</t>
  </si>
  <si>
    <t>Add shift transition integration test.</t>
  </si>
  <si>
    <t>DEF-018 Regression defect</t>
  </si>
  <si>
    <t>Historical route scenario absent from release suite.</t>
  </si>
  <si>
    <t>Restore regression test and release gate.</t>
  </si>
  <si>
    <t>Require historical high/critical defect regression.</t>
  </si>
  <si>
    <t>Release regression pending</t>
  </si>
  <si>
    <t>LogiQual – SQA Summary</t>
  </si>
  <si>
    <t>Metric</t>
  </si>
  <si>
    <t>Value</t>
  </si>
  <si>
    <t>Defect Category</t>
  </si>
  <si>
    <t>Count</t>
  </si>
  <si>
    <t>Total Defects</t>
  </si>
  <si>
    <t>Open Defects</t>
  </si>
  <si>
    <t>In Progress Defects</t>
  </si>
  <si>
    <t>Closed Defects</t>
  </si>
  <si>
    <t>Critical Defects</t>
  </si>
  <si>
    <t>High Severity Defects</t>
  </si>
  <si>
    <t>Medium Severity Defects</t>
  </si>
  <si>
    <t>Low Severity Defects</t>
  </si>
  <si>
    <t>Post-Release Defects</t>
  </si>
  <si>
    <t>Reopened Defects</t>
  </si>
  <si>
    <t>Reviews</t>
  </si>
  <si>
    <t>Tests</t>
  </si>
  <si>
    <t>Documents</t>
  </si>
  <si>
    <t>CAPA Records</t>
  </si>
  <si>
    <t>Defect Status</t>
  </si>
  <si>
    <t>Yes/No</t>
  </si>
  <si>
    <t>Plan Status</t>
  </si>
  <si>
    <t>Review Status</t>
  </si>
  <si>
    <t>Test Type</t>
  </si>
  <si>
    <t>Test Result</t>
  </si>
  <si>
    <t>Artifact Type</t>
  </si>
  <si>
    <t>Approval Status</t>
  </si>
  <si>
    <t>CAPA Status</t>
  </si>
  <si>
    <t>Draft</t>
  </si>
  <si>
    <t>Not Run</t>
  </si>
  <si>
    <t>Passed</t>
  </si>
  <si>
    <t>Verification Pending</t>
  </si>
  <si>
    <t>Archived</t>
  </si>
  <si>
    <t>Blocked</t>
  </si>
  <si>
    <t>Rejected</t>
  </si>
  <si>
    <t>Verified</t>
  </si>
  <si>
    <t>Superseded</t>
  </si>
  <si>
    <t>Source Release</t>
  </si>
  <si>
    <t>Quality Report</t>
  </si>
  <si>
    <t>Approval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</si>
</sst>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/>
    <xf numFmtId="0" fontId="3" fillId="0" borderId="0" xfId="0" applyFont="1"/>
    <xf numFmtId="0" fontId="5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ColWidth="8.6328125" defaultRowHeight="14.5" x14ac:dyDescent="0.35"/>
  <cols>
    <col min="1" max="1" width="40" customWidth="1"/>
    <col min="2" max="2" width="15" customWidth="1"/>
    <col min="3" max="3" width="10" customWidth="1"/>
    <col min="4" max="4" width="26" customWidth="1"/>
    <col min="5" max="5" width="50" customWidth="1"/>
    <col min="6" max="6" width="22" customWidth="1"/>
    <col min="7" max="7" width="26" customWidth="1"/>
    <col min="8" max="8" width="14" customWidth="1"/>
    <col min="9" max="9" width="13" customWidth="1"/>
    <col min="10" max="10" width="11" customWidth="1"/>
  </cols>
  <sheetData>
    <row r="1" spans="1:10" ht="31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4" customHeigh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46319</v>
      </c>
      <c r="J2" s="3" t="s">
        <v>17</v>
      </c>
    </row>
    <row r="3" spans="1:10" ht="28.4" customHeight="1" x14ac:dyDescent="0.3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4">
        <v>46317</v>
      </c>
      <c r="J3" s="3" t="s">
        <v>17</v>
      </c>
    </row>
    <row r="4" spans="1:10" ht="28.4" customHeight="1" x14ac:dyDescent="0.3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24</v>
      </c>
      <c r="H4" s="3" t="s">
        <v>17</v>
      </c>
      <c r="I4" s="4">
        <v>46316</v>
      </c>
      <c r="J4" s="3" t="s">
        <v>17</v>
      </c>
    </row>
    <row r="5" spans="1:10" ht="28.4" customHeight="1" x14ac:dyDescent="0.35">
      <c r="A5" s="3" t="s">
        <v>32</v>
      </c>
      <c r="B5" s="3" t="s">
        <v>33</v>
      </c>
      <c r="C5" s="3" t="s">
        <v>12</v>
      </c>
      <c r="D5" s="3" t="s">
        <v>34</v>
      </c>
      <c r="E5" s="3" t="s">
        <v>35</v>
      </c>
      <c r="F5" s="3" t="s">
        <v>23</v>
      </c>
      <c r="G5" s="3" t="s">
        <v>16</v>
      </c>
      <c r="H5" s="3" t="s">
        <v>17</v>
      </c>
      <c r="I5" s="4">
        <v>46318</v>
      </c>
      <c r="J5" s="3" t="s">
        <v>17</v>
      </c>
    </row>
    <row r="6" spans="1:10" ht="28.4" customHeight="1" x14ac:dyDescent="0.35">
      <c r="A6" s="3" t="s">
        <v>36</v>
      </c>
      <c r="B6" s="3" t="s">
        <v>27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24</v>
      </c>
      <c r="H6" s="3" t="s">
        <v>17</v>
      </c>
      <c r="I6" s="4">
        <v>46318</v>
      </c>
      <c r="J6" s="3" t="s">
        <v>17</v>
      </c>
    </row>
    <row r="7" spans="1:10" ht="28.4" customHeight="1" x14ac:dyDescent="0.35">
      <c r="A7" s="3" t="s">
        <v>41</v>
      </c>
      <c r="B7" s="3" t="s">
        <v>42</v>
      </c>
      <c r="C7" s="3" t="s">
        <v>20</v>
      </c>
      <c r="D7" s="3" t="s">
        <v>43</v>
      </c>
      <c r="E7" s="3" t="s">
        <v>44</v>
      </c>
      <c r="F7" s="3" t="s">
        <v>31</v>
      </c>
      <c r="G7" s="3" t="s">
        <v>45</v>
      </c>
      <c r="H7" s="3" t="s">
        <v>17</v>
      </c>
      <c r="I7" s="4">
        <v>46319</v>
      </c>
      <c r="J7" s="3" t="s">
        <v>17</v>
      </c>
    </row>
    <row r="8" spans="1:10" ht="28.4" customHeight="1" x14ac:dyDescent="0.35">
      <c r="A8" s="3" t="s">
        <v>46</v>
      </c>
      <c r="B8" s="3" t="s">
        <v>19</v>
      </c>
      <c r="C8" s="3" t="s">
        <v>20</v>
      </c>
      <c r="D8" s="3" t="s">
        <v>21</v>
      </c>
      <c r="E8" s="3" t="s">
        <v>47</v>
      </c>
      <c r="F8" s="3" t="s">
        <v>23</v>
      </c>
      <c r="G8" s="3" t="s">
        <v>48</v>
      </c>
      <c r="H8" s="3" t="s">
        <v>17</v>
      </c>
      <c r="I8" s="4">
        <v>46317</v>
      </c>
      <c r="J8" s="3" t="s">
        <v>17</v>
      </c>
    </row>
    <row r="9" spans="1:10" ht="28.4" customHeight="1" x14ac:dyDescent="0.35">
      <c r="A9" s="3" t="s">
        <v>49</v>
      </c>
      <c r="B9" s="3" t="s">
        <v>50</v>
      </c>
      <c r="C9" s="3" t="s">
        <v>12</v>
      </c>
      <c r="D9" s="3" t="s">
        <v>51</v>
      </c>
      <c r="E9" s="3" t="s">
        <v>52</v>
      </c>
      <c r="F9" s="3" t="s">
        <v>15</v>
      </c>
      <c r="G9" s="3" t="s">
        <v>24</v>
      </c>
      <c r="H9" s="3" t="s">
        <v>25</v>
      </c>
      <c r="I9" s="4">
        <v>46320</v>
      </c>
      <c r="J9" s="3" t="s">
        <v>17</v>
      </c>
    </row>
    <row r="10" spans="1:10" ht="28.4" customHeight="1" x14ac:dyDescent="0.35">
      <c r="A10" s="3" t="s">
        <v>53</v>
      </c>
      <c r="B10" s="3" t="s">
        <v>27</v>
      </c>
      <c r="C10" s="3" t="s">
        <v>12</v>
      </c>
      <c r="D10" s="3" t="s">
        <v>54</v>
      </c>
      <c r="E10" s="3" t="s">
        <v>55</v>
      </c>
      <c r="F10" s="3" t="s">
        <v>23</v>
      </c>
      <c r="G10" s="3" t="s">
        <v>16</v>
      </c>
      <c r="H10" s="3" t="s">
        <v>17</v>
      </c>
      <c r="I10" s="4">
        <v>46319</v>
      </c>
      <c r="J10" s="3" t="s">
        <v>17</v>
      </c>
    </row>
    <row r="11" spans="1:10" ht="28.4" customHeight="1" x14ac:dyDescent="0.35">
      <c r="A11" s="3" t="s">
        <v>56</v>
      </c>
      <c r="B11" s="3" t="s">
        <v>33</v>
      </c>
      <c r="C11" s="3" t="s">
        <v>20</v>
      </c>
      <c r="D11" s="3" t="s">
        <v>57</v>
      </c>
      <c r="E11" s="3" t="s">
        <v>58</v>
      </c>
      <c r="F11" s="3" t="s">
        <v>59</v>
      </c>
      <c r="G11" s="3" t="s">
        <v>24</v>
      </c>
      <c r="H11" s="3" t="s">
        <v>17</v>
      </c>
      <c r="I11" s="4">
        <v>46319</v>
      </c>
      <c r="J11" s="3" t="s">
        <v>17</v>
      </c>
    </row>
    <row r="12" spans="1:10" ht="28.4" customHeight="1" x14ac:dyDescent="0.35">
      <c r="A12" s="3" t="s">
        <v>60</v>
      </c>
      <c r="B12" s="3" t="s">
        <v>61</v>
      </c>
      <c r="C12" s="3" t="s">
        <v>20</v>
      </c>
      <c r="D12" s="3" t="s">
        <v>62</v>
      </c>
      <c r="E12" s="3" t="s">
        <v>63</v>
      </c>
      <c r="F12" s="3" t="s">
        <v>64</v>
      </c>
      <c r="G12" s="3" t="s">
        <v>45</v>
      </c>
      <c r="H12" s="3" t="s">
        <v>17</v>
      </c>
      <c r="I12" s="4">
        <v>46320</v>
      </c>
      <c r="J12" s="3" t="s">
        <v>17</v>
      </c>
    </row>
    <row r="13" spans="1:10" ht="28.4" customHeight="1" x14ac:dyDescent="0.35">
      <c r="A13" s="3" t="s">
        <v>65</v>
      </c>
      <c r="B13" s="3" t="s">
        <v>50</v>
      </c>
      <c r="C13" s="3" t="s">
        <v>28</v>
      </c>
      <c r="D13" s="3" t="s">
        <v>66</v>
      </c>
      <c r="E13" s="3" t="s">
        <v>67</v>
      </c>
      <c r="F13" s="3" t="s">
        <v>68</v>
      </c>
      <c r="G13" s="3" t="s">
        <v>24</v>
      </c>
      <c r="H13" s="3" t="s">
        <v>25</v>
      </c>
      <c r="I13" s="4">
        <v>46320</v>
      </c>
      <c r="J13" s="3" t="s">
        <v>17</v>
      </c>
    </row>
    <row r="14" spans="1:10" ht="28.4" customHeight="1" x14ac:dyDescent="0.35">
      <c r="A14" s="3" t="s">
        <v>69</v>
      </c>
      <c r="B14" s="3" t="s">
        <v>27</v>
      </c>
      <c r="C14" s="3" t="s">
        <v>12</v>
      </c>
      <c r="D14" s="3" t="s">
        <v>70</v>
      </c>
      <c r="E14" s="3" t="s">
        <v>71</v>
      </c>
      <c r="F14" s="3" t="s">
        <v>72</v>
      </c>
      <c r="G14" s="3" t="s">
        <v>16</v>
      </c>
      <c r="H14" s="3" t="s">
        <v>17</v>
      </c>
      <c r="I14" s="4">
        <v>46320</v>
      </c>
      <c r="J14" s="3" t="s">
        <v>17</v>
      </c>
    </row>
    <row r="15" spans="1:10" ht="28.4" customHeight="1" x14ac:dyDescent="0.35">
      <c r="A15" s="3" t="s">
        <v>73</v>
      </c>
      <c r="B15" s="3" t="s">
        <v>61</v>
      </c>
      <c r="C15" s="3" t="s">
        <v>12</v>
      </c>
      <c r="D15" s="3" t="s">
        <v>21</v>
      </c>
      <c r="E15" s="3" t="s">
        <v>74</v>
      </c>
      <c r="F15" s="3" t="s">
        <v>23</v>
      </c>
      <c r="G15" s="3" t="s">
        <v>24</v>
      </c>
      <c r="H15" s="3" t="s">
        <v>17</v>
      </c>
      <c r="I15" s="4">
        <v>46320</v>
      </c>
      <c r="J15" s="3" t="s">
        <v>17</v>
      </c>
    </row>
    <row r="16" spans="1:10" ht="28.4" customHeight="1" x14ac:dyDescent="0.35">
      <c r="A16" s="3" t="s">
        <v>75</v>
      </c>
      <c r="B16" s="3" t="s">
        <v>33</v>
      </c>
      <c r="C16" s="3" t="s">
        <v>37</v>
      </c>
      <c r="D16" s="3" t="s">
        <v>76</v>
      </c>
      <c r="E16" s="3" t="s">
        <v>77</v>
      </c>
      <c r="F16" s="3" t="s">
        <v>40</v>
      </c>
      <c r="G16" s="3" t="s">
        <v>48</v>
      </c>
      <c r="H16" s="3" t="s">
        <v>17</v>
      </c>
      <c r="I16" s="4">
        <v>46318</v>
      </c>
      <c r="J16" s="3" t="s">
        <v>17</v>
      </c>
    </row>
    <row r="17" spans="1:10" ht="28.4" customHeight="1" x14ac:dyDescent="0.35">
      <c r="A17" s="3" t="s">
        <v>78</v>
      </c>
      <c r="B17" s="3" t="s">
        <v>11</v>
      </c>
      <c r="C17" s="3" t="s">
        <v>20</v>
      </c>
      <c r="D17" s="3" t="s">
        <v>79</v>
      </c>
      <c r="E17" s="3" t="s">
        <v>80</v>
      </c>
      <c r="F17" s="3" t="s">
        <v>15</v>
      </c>
      <c r="G17" s="3" t="s">
        <v>24</v>
      </c>
      <c r="H17" s="3" t="s">
        <v>25</v>
      </c>
      <c r="I17" s="4">
        <v>46321</v>
      </c>
      <c r="J17" s="3" t="s">
        <v>17</v>
      </c>
    </row>
    <row r="18" spans="1:10" ht="28.4" customHeight="1" x14ac:dyDescent="0.35">
      <c r="A18" s="3" t="s">
        <v>81</v>
      </c>
      <c r="B18" s="3" t="s">
        <v>82</v>
      </c>
      <c r="C18" s="3" t="s">
        <v>37</v>
      </c>
      <c r="D18" s="3" t="s">
        <v>83</v>
      </c>
      <c r="E18" s="3" t="s">
        <v>84</v>
      </c>
      <c r="F18" s="3" t="s">
        <v>31</v>
      </c>
      <c r="G18" s="3" t="s">
        <v>48</v>
      </c>
      <c r="H18" s="3" t="s">
        <v>17</v>
      </c>
      <c r="I18" s="4">
        <v>46319</v>
      </c>
      <c r="J18" s="3" t="s">
        <v>25</v>
      </c>
    </row>
    <row r="19" spans="1:10" ht="28.4" customHeight="1" x14ac:dyDescent="0.35">
      <c r="A19" s="3" t="s">
        <v>85</v>
      </c>
      <c r="B19" s="3" t="s">
        <v>86</v>
      </c>
      <c r="C19" s="3" t="s">
        <v>12</v>
      </c>
      <c r="D19" s="3" t="s">
        <v>87</v>
      </c>
      <c r="E19" s="3" t="s">
        <v>88</v>
      </c>
      <c r="F19" s="3" t="s">
        <v>89</v>
      </c>
      <c r="G19" s="3" t="s">
        <v>16</v>
      </c>
      <c r="H19" s="3" t="s">
        <v>17</v>
      </c>
      <c r="I19" s="4">
        <v>46321</v>
      </c>
      <c r="J19" s="3" t="s">
        <v>25</v>
      </c>
    </row>
    <row r="20" spans="1:10" ht="15" customHeight="1" x14ac:dyDescent="0.35">
      <c r="A20" s="3"/>
      <c r="B20" s="3"/>
      <c r="C20" s="3"/>
      <c r="D20" s="3"/>
      <c r="E20" s="3"/>
      <c r="F20" s="3"/>
      <c r="G20" s="3"/>
      <c r="H20" s="3"/>
      <c r="I20" s="4"/>
      <c r="J20" s="3"/>
    </row>
    <row r="21" spans="1:10" ht="15" customHeigh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1"/>
    </row>
    <row r="22" spans="1:10" ht="15" customHeight="1" x14ac:dyDescent="0.35">
      <c r="A22" s="3"/>
      <c r="B22" s="3"/>
      <c r="C22" s="3"/>
      <c r="D22" s="3"/>
      <c r="E22" s="3"/>
      <c r="F22" s="3"/>
      <c r="G22" s="3"/>
      <c r="H22" s="3"/>
      <c r="I22" s="4"/>
      <c r="J22" s="3"/>
    </row>
    <row r="23" spans="1:10" ht="15" customHeight="1" x14ac:dyDescent="0.35">
      <c r="A23" s="3"/>
      <c r="B23" s="3"/>
      <c r="C23" s="3"/>
      <c r="D23" s="3"/>
      <c r="E23" s="3"/>
      <c r="F23" s="3"/>
      <c r="G23" s="3"/>
      <c r="H23" s="3"/>
      <c r="I23" s="4"/>
      <c r="J23" s="3"/>
    </row>
    <row r="24" spans="1:10" ht="15" customHeight="1" x14ac:dyDescent="0.35">
      <c r="A24" s="3"/>
      <c r="B24" s="3"/>
      <c r="C24" s="3"/>
      <c r="D24" s="3"/>
      <c r="E24" s="3"/>
      <c r="F24" s="3"/>
      <c r="G24" s="3"/>
      <c r="H24" s="3"/>
      <c r="I24" s="4"/>
      <c r="J24" s="3"/>
    </row>
    <row r="25" spans="1:10" ht="15" customHeight="1" x14ac:dyDescent="0.35">
      <c r="A25" s="3"/>
      <c r="B25" s="3"/>
      <c r="C25" s="3"/>
      <c r="D25" s="3"/>
      <c r="E25" s="3"/>
      <c r="F25" s="3"/>
      <c r="G25" s="3"/>
      <c r="H25" s="3"/>
      <c r="I25" s="4"/>
      <c r="J25" s="3"/>
    </row>
    <row r="26" spans="1:10" ht="15" customHeight="1" x14ac:dyDescent="0.35">
      <c r="A26" s="3"/>
      <c r="B26" s="3"/>
      <c r="C26" s="3"/>
      <c r="D26" s="3"/>
      <c r="E26" s="3"/>
      <c r="F26" s="3"/>
      <c r="G26" s="3"/>
      <c r="H26" s="3"/>
      <c r="I26" s="4"/>
      <c r="J26" s="3"/>
    </row>
    <row r="27" spans="1:10" ht="15" customHeight="1" x14ac:dyDescent="0.35">
      <c r="A27" s="3"/>
      <c r="B27" s="3"/>
      <c r="C27" s="3"/>
      <c r="D27" s="3"/>
      <c r="E27" s="3"/>
      <c r="F27" s="3"/>
      <c r="G27" s="3"/>
      <c r="H27" s="3"/>
      <c r="I27" s="4"/>
      <c r="J27" s="3"/>
    </row>
    <row r="28" spans="1:10" ht="15" customHeight="1" x14ac:dyDescent="0.35">
      <c r="A28" s="3"/>
      <c r="B28" s="3"/>
      <c r="C28" s="3"/>
      <c r="D28" s="3"/>
      <c r="E28" s="3"/>
      <c r="F28" s="3"/>
      <c r="G28" s="3"/>
      <c r="H28" s="3"/>
      <c r="I28" s="4"/>
      <c r="J28" s="3"/>
    </row>
    <row r="29" spans="1:10" ht="15" customHeight="1" x14ac:dyDescent="0.35">
      <c r="A29" s="3"/>
      <c r="B29" s="3"/>
      <c r="C29" s="3"/>
      <c r="D29" s="3"/>
      <c r="E29" s="3"/>
      <c r="F29" s="3"/>
      <c r="G29" s="3"/>
      <c r="H29" s="3"/>
      <c r="I29" s="4"/>
      <c r="J29" s="3"/>
    </row>
    <row r="30" spans="1:10" ht="15" customHeight="1" x14ac:dyDescent="0.35">
      <c r="A30" s="3"/>
      <c r="B30" s="3"/>
      <c r="C30" s="3"/>
      <c r="D30" s="3"/>
      <c r="E30" s="3"/>
      <c r="F30" s="3"/>
      <c r="G30" s="3"/>
      <c r="H30" s="3"/>
      <c r="I30" s="4"/>
      <c r="J30" s="3"/>
    </row>
    <row r="31" spans="1:10" ht="15" customHeight="1" x14ac:dyDescent="0.35">
      <c r="A31" s="3"/>
      <c r="B31" s="3"/>
      <c r="C31" s="3"/>
      <c r="D31" s="3"/>
      <c r="E31" s="3"/>
      <c r="F31" s="3"/>
      <c r="G31" s="3"/>
      <c r="H31" s="3"/>
      <c r="I31" s="4"/>
      <c r="J31" s="3"/>
    </row>
    <row r="32" spans="1:10" ht="15" customHeight="1" x14ac:dyDescent="0.35">
      <c r="A32" s="3"/>
      <c r="B32" s="3"/>
      <c r="C32" s="3"/>
      <c r="D32" s="3"/>
      <c r="E32" s="3"/>
      <c r="F32" s="3"/>
      <c r="G32" s="3"/>
      <c r="H32" s="3"/>
      <c r="I32" s="4"/>
      <c r="J32" s="3"/>
    </row>
    <row r="33" spans="1:10" ht="15" customHeight="1" x14ac:dyDescent="0.35">
      <c r="A33" s="3"/>
      <c r="B33" s="3"/>
      <c r="C33" s="3"/>
      <c r="D33" s="3"/>
      <c r="E33" s="3"/>
      <c r="F33" s="3"/>
      <c r="G33" s="3"/>
      <c r="H33" s="3"/>
      <c r="I33" s="4"/>
      <c r="J33" s="3"/>
    </row>
    <row r="34" spans="1:10" ht="15" customHeight="1" x14ac:dyDescent="0.35">
      <c r="A34" s="3"/>
      <c r="B34" s="3"/>
      <c r="C34" s="3"/>
      <c r="D34" s="3"/>
      <c r="E34" s="3"/>
      <c r="F34" s="3"/>
      <c r="G34" s="3"/>
      <c r="H34" s="3"/>
      <c r="I34" s="4"/>
      <c r="J34" s="3"/>
    </row>
    <row r="35" spans="1:10" ht="15" customHeight="1" x14ac:dyDescent="0.35">
      <c r="A35" s="3"/>
      <c r="B35" s="3"/>
      <c r="C35" s="3"/>
      <c r="D35" s="3"/>
      <c r="E35" s="3"/>
      <c r="F35" s="3"/>
      <c r="G35" s="3"/>
      <c r="H35" s="3"/>
      <c r="I35" s="4"/>
      <c r="J35" s="3"/>
    </row>
    <row r="36" spans="1:10" ht="15" customHeight="1" x14ac:dyDescent="0.35">
      <c r="A36" s="3"/>
      <c r="B36" s="3"/>
      <c r="C36" s="3"/>
      <c r="D36" s="3"/>
      <c r="E36" s="3"/>
      <c r="F36" s="3"/>
      <c r="G36" s="3"/>
      <c r="H36" s="3"/>
      <c r="I36" s="4"/>
      <c r="J36" s="3"/>
    </row>
    <row r="37" spans="1:10" ht="15" customHeight="1" x14ac:dyDescent="0.35">
      <c r="A37" s="3"/>
      <c r="B37" s="3"/>
      <c r="C37" s="3"/>
      <c r="D37" s="3"/>
      <c r="E37" s="3"/>
      <c r="F37" s="3"/>
      <c r="G37" s="3"/>
      <c r="H37" s="3"/>
      <c r="I37" s="4"/>
      <c r="J37" s="3"/>
    </row>
    <row r="38" spans="1:10" ht="15" customHeight="1" x14ac:dyDescent="0.35">
      <c r="A38" s="3"/>
      <c r="B38" s="3"/>
      <c r="C38" s="3"/>
      <c r="D38" s="3"/>
      <c r="E38" s="3"/>
      <c r="F38" s="3"/>
      <c r="G38" s="3"/>
      <c r="H38" s="3"/>
      <c r="I38" s="4"/>
      <c r="J38" s="3"/>
    </row>
    <row r="39" spans="1:10" ht="15" customHeight="1" x14ac:dyDescent="0.35">
      <c r="A39" s="3"/>
      <c r="B39" s="3"/>
      <c r="C39" s="3"/>
      <c r="D39" s="3"/>
      <c r="E39" s="3"/>
      <c r="F39" s="3"/>
      <c r="G39" s="3"/>
      <c r="H39" s="3"/>
      <c r="I39" s="4"/>
      <c r="J39" s="3"/>
    </row>
    <row r="40" spans="1:10" ht="15" customHeight="1" x14ac:dyDescent="0.35">
      <c r="A40" s="3"/>
      <c r="B40" s="3"/>
      <c r="C40" s="3"/>
      <c r="D40" s="3"/>
      <c r="E40" s="3"/>
      <c r="F40" s="3"/>
      <c r="G40" s="3"/>
      <c r="H40" s="3"/>
      <c r="I40" s="4"/>
      <c r="J40" s="3"/>
    </row>
    <row r="41" spans="1:10" ht="15" customHeight="1" x14ac:dyDescent="0.35">
      <c r="A41" s="3"/>
      <c r="B41" s="3"/>
      <c r="C41" s="3"/>
      <c r="D41" s="3"/>
      <c r="E41" s="3"/>
      <c r="F41" s="3"/>
      <c r="G41" s="3"/>
      <c r="H41" s="3"/>
      <c r="I41" s="4"/>
      <c r="J41" s="3"/>
    </row>
    <row r="42" spans="1:10" ht="15" customHeight="1" x14ac:dyDescent="0.35">
      <c r="A42" s="3"/>
      <c r="B42" s="3"/>
      <c r="C42" s="3"/>
      <c r="D42" s="3"/>
      <c r="E42" s="3"/>
      <c r="F42" s="3"/>
      <c r="G42" s="3"/>
      <c r="H42" s="3"/>
      <c r="I42" s="4"/>
      <c r="J42" s="3"/>
    </row>
    <row r="43" spans="1:10" ht="15" customHeight="1" x14ac:dyDescent="0.35">
      <c r="A43" s="3"/>
      <c r="B43" s="3"/>
      <c r="C43" s="3"/>
      <c r="D43" s="3"/>
      <c r="E43" s="3"/>
      <c r="F43" s="3"/>
      <c r="G43" s="3"/>
      <c r="H43" s="3"/>
      <c r="I43" s="4"/>
      <c r="J43" s="3"/>
    </row>
    <row r="44" spans="1:10" ht="15" customHeight="1" x14ac:dyDescent="0.35">
      <c r="A44" s="3"/>
      <c r="B44" s="3"/>
      <c r="C44" s="3"/>
      <c r="D44" s="3"/>
      <c r="E44" s="3"/>
      <c r="F44" s="3"/>
      <c r="G44" s="3"/>
      <c r="H44" s="3"/>
      <c r="I44" s="4"/>
      <c r="J44" s="3"/>
    </row>
    <row r="45" spans="1:10" ht="15" customHeight="1" x14ac:dyDescent="0.35">
      <c r="A45" s="3"/>
      <c r="B45" s="3"/>
      <c r="C45" s="3"/>
      <c r="D45" s="3"/>
      <c r="E45" s="3"/>
      <c r="F45" s="3"/>
      <c r="G45" s="3"/>
      <c r="H45" s="3"/>
      <c r="I45" s="4"/>
      <c r="J45" s="3"/>
    </row>
    <row r="46" spans="1:10" ht="15" customHeight="1" x14ac:dyDescent="0.35">
      <c r="A46" s="3"/>
      <c r="B46" s="3"/>
      <c r="C46" s="3"/>
      <c r="D46" s="3"/>
      <c r="E46" s="3"/>
      <c r="F46" s="3"/>
      <c r="G46" s="3"/>
      <c r="H46" s="3"/>
      <c r="I46" s="4"/>
      <c r="J46" s="3"/>
    </row>
    <row r="47" spans="1:10" ht="15" customHeight="1" x14ac:dyDescent="0.35">
      <c r="A47" s="3"/>
      <c r="B47" s="3"/>
      <c r="C47" s="3"/>
      <c r="D47" s="3"/>
      <c r="E47" s="3"/>
      <c r="F47" s="3"/>
      <c r="G47" s="3"/>
      <c r="H47" s="3"/>
      <c r="I47" s="4"/>
      <c r="J47" s="3"/>
    </row>
    <row r="48" spans="1:10" ht="15" customHeight="1" x14ac:dyDescent="0.35">
      <c r="A48" s="3"/>
      <c r="B48" s="3"/>
      <c r="C48" s="3"/>
      <c r="D48" s="3"/>
      <c r="E48" s="3"/>
      <c r="F48" s="3"/>
      <c r="G48" s="3"/>
      <c r="H48" s="3"/>
      <c r="I48" s="4"/>
      <c r="J48" s="3"/>
    </row>
    <row r="49" spans="1:10" ht="15" customHeight="1" x14ac:dyDescent="0.35">
      <c r="A49" s="3"/>
      <c r="B49" s="3"/>
      <c r="C49" s="3"/>
      <c r="D49" s="3"/>
      <c r="E49" s="3"/>
      <c r="F49" s="3"/>
      <c r="G49" s="3"/>
      <c r="H49" s="3"/>
      <c r="I49" s="4"/>
      <c r="J49" s="3"/>
    </row>
    <row r="50" spans="1:10" ht="15" customHeight="1" x14ac:dyDescent="0.35">
      <c r="A50" s="3"/>
      <c r="B50" s="3"/>
      <c r="C50" s="3"/>
      <c r="D50" s="3"/>
      <c r="E50" s="3"/>
      <c r="F50" s="3"/>
      <c r="G50" s="3"/>
      <c r="H50" s="3"/>
      <c r="I50" s="4"/>
      <c r="J50" s="3"/>
    </row>
    <row r="51" spans="1:10" ht="15" customHeight="1" x14ac:dyDescent="0.35">
      <c r="A51" s="3"/>
      <c r="B51" s="3"/>
      <c r="C51" s="3"/>
      <c r="D51" s="3"/>
      <c r="E51" s="3"/>
      <c r="F51" s="3"/>
      <c r="G51" s="3"/>
      <c r="H51" s="3"/>
      <c r="I51" s="4"/>
      <c r="J51" s="3"/>
    </row>
    <row r="52" spans="1:10" ht="15" customHeight="1" x14ac:dyDescent="0.35">
      <c r="A52" s="3"/>
      <c r="B52" s="3"/>
      <c r="C52" s="3"/>
      <c r="D52" s="3"/>
      <c r="E52" s="3"/>
      <c r="F52" s="3"/>
      <c r="G52" s="3"/>
      <c r="H52" s="3"/>
      <c r="I52" s="4"/>
      <c r="J52" s="3"/>
    </row>
    <row r="53" spans="1:10" ht="15" customHeight="1" x14ac:dyDescent="0.35">
      <c r="A53" s="3"/>
      <c r="B53" s="3"/>
      <c r="C53" s="3"/>
      <c r="D53" s="3"/>
      <c r="E53" s="3"/>
      <c r="F53" s="3"/>
      <c r="G53" s="3"/>
      <c r="H53" s="3"/>
      <c r="I53" s="4"/>
      <c r="J53" s="3"/>
    </row>
    <row r="54" spans="1:10" ht="15" customHeight="1" x14ac:dyDescent="0.35">
      <c r="A54" s="3"/>
      <c r="B54" s="3"/>
      <c r="C54" s="3"/>
      <c r="D54" s="3"/>
      <c r="E54" s="3"/>
      <c r="F54" s="3"/>
      <c r="G54" s="3"/>
      <c r="H54" s="3"/>
      <c r="I54" s="4"/>
      <c r="J54" s="3"/>
    </row>
    <row r="55" spans="1:10" ht="15" customHeight="1" x14ac:dyDescent="0.35">
      <c r="A55" s="3"/>
      <c r="B55" s="3"/>
      <c r="C55" s="3"/>
      <c r="D55" s="3"/>
      <c r="E55" s="3"/>
      <c r="F55" s="3"/>
      <c r="G55" s="3"/>
      <c r="H55" s="3"/>
      <c r="I55" s="4"/>
      <c r="J55" s="3"/>
    </row>
    <row r="56" spans="1:10" ht="15" customHeight="1" x14ac:dyDescent="0.35">
      <c r="A56" s="3"/>
      <c r="B56" s="3"/>
      <c r="C56" s="3"/>
      <c r="D56" s="3"/>
      <c r="E56" s="3"/>
      <c r="F56" s="3"/>
      <c r="G56" s="3"/>
      <c r="H56" s="3"/>
      <c r="I56" s="4"/>
      <c r="J56" s="3"/>
    </row>
    <row r="57" spans="1:10" ht="15" customHeight="1" x14ac:dyDescent="0.35">
      <c r="A57" s="3"/>
      <c r="B57" s="3"/>
      <c r="C57" s="3"/>
      <c r="D57" s="3"/>
      <c r="E57" s="3"/>
      <c r="F57" s="3"/>
      <c r="G57" s="3"/>
      <c r="H57" s="3"/>
      <c r="I57" s="4"/>
      <c r="J57" s="3"/>
    </row>
  </sheetData>
  <mergeCells count="1">
    <mergeCell ref="A21:J2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Lists!$A$2:$A$10</xm:f>
          </x14:formula1>
          <x14:formula2>
            <xm:f>0</xm:f>
          </x14:formula2>
          <xm:sqref>B2:B57</xm:sqref>
        </x14:dataValidation>
        <x14:dataValidation type="list" allowBlank="1" xr:uid="{00000000-0002-0000-0000-000001000000}">
          <x14:formula1>
            <xm:f>Lists!$B$2:$B$5</xm:f>
          </x14:formula1>
          <x14:formula2>
            <xm:f>0</xm:f>
          </x14:formula2>
          <xm:sqref>C2:C57</xm:sqref>
        </x14:dataValidation>
        <x14:dataValidation type="list" allowBlank="1" xr:uid="{00000000-0002-0000-0000-000002000000}">
          <x14:formula1>
            <xm:f>Lists!$C$2:$C$5</xm:f>
          </x14:formula1>
          <x14:formula2>
            <xm:f>0</xm:f>
          </x14:formula2>
          <xm:sqref>G2:G57</xm:sqref>
        </x14:dataValidation>
        <x14:dataValidation type="list" allowBlank="1" xr:uid="{00000000-0002-0000-0000-000003000000}">
          <x14:formula1>
            <xm:f>Lists!$D$2:$D$3</xm:f>
          </x14:formula1>
          <x14:formula2>
            <xm:f>0</xm:f>
          </x14:formula2>
          <xm:sqref>H2:H57 J2:J57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zoomScaleNormal="100" workbookViewId="0">
      <pane ySplit="2" topLeftCell="A3" activePane="bottomLeft" state="frozen"/>
      <selection pane="bottomLeft" activeCell="A60" sqref="A60:F60"/>
    </sheetView>
  </sheetViews>
  <sheetFormatPr defaultColWidth="8.6328125" defaultRowHeight="14.5" x14ac:dyDescent="0.35"/>
  <cols>
    <col min="1" max="1" width="28" customWidth="1"/>
    <col min="2" max="2" width="50" customWidth="1"/>
    <col min="3" max="3" width="24" customWidth="1"/>
    <col min="4" max="4" width="50" customWidth="1"/>
    <col min="5" max="5" width="20" customWidth="1"/>
    <col min="6" max="6" width="12" customWidth="1"/>
  </cols>
  <sheetData>
    <row r="1" spans="1:6" ht="17.399999999999999" customHeight="1" x14ac:dyDescent="0.35">
      <c r="A1" s="1" t="s">
        <v>90</v>
      </c>
    </row>
    <row r="2" spans="1:6" ht="31.5" customHeight="1" x14ac:dyDescent="0.35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6</v>
      </c>
    </row>
    <row r="3" spans="1:6" ht="28.4" customHeight="1" x14ac:dyDescent="0.35">
      <c r="A3" s="3" t="s">
        <v>96</v>
      </c>
      <c r="B3" s="3" t="s">
        <v>97</v>
      </c>
      <c r="C3" s="3" t="s">
        <v>61</v>
      </c>
      <c r="D3" s="3" t="s">
        <v>98</v>
      </c>
      <c r="E3" s="3" t="s">
        <v>99</v>
      </c>
      <c r="F3" s="3" t="s">
        <v>100</v>
      </c>
    </row>
    <row r="4" spans="1:6" ht="28.4" customHeight="1" x14ac:dyDescent="0.35">
      <c r="A4" s="3" t="s">
        <v>101</v>
      </c>
      <c r="B4" s="3" t="s">
        <v>102</v>
      </c>
      <c r="C4" s="3" t="s">
        <v>61</v>
      </c>
      <c r="D4" s="3" t="s">
        <v>103</v>
      </c>
      <c r="E4" s="3" t="s">
        <v>104</v>
      </c>
      <c r="F4" s="3" t="s">
        <v>100</v>
      </c>
    </row>
    <row r="5" spans="1:6" ht="15" customHeight="1" x14ac:dyDescent="0.35">
      <c r="A5" s="3" t="s">
        <v>105</v>
      </c>
      <c r="B5" s="3" t="s">
        <v>106</v>
      </c>
      <c r="C5" s="3" t="s">
        <v>27</v>
      </c>
      <c r="D5" s="3" t="s">
        <v>107</v>
      </c>
      <c r="E5" s="3" t="s">
        <v>108</v>
      </c>
      <c r="F5" s="3" t="s">
        <v>109</v>
      </c>
    </row>
    <row r="6" spans="1:6" ht="15" customHeight="1" x14ac:dyDescent="0.35">
      <c r="A6" s="3" t="s">
        <v>110</v>
      </c>
      <c r="B6" s="3" t="s">
        <v>111</v>
      </c>
      <c r="C6" s="3" t="s">
        <v>86</v>
      </c>
      <c r="D6" s="3" t="s">
        <v>112</v>
      </c>
      <c r="E6" s="3" t="s">
        <v>113</v>
      </c>
      <c r="F6" s="3" t="s">
        <v>100</v>
      </c>
    </row>
    <row r="7" spans="1:6" ht="15" customHeight="1" x14ac:dyDescent="0.35">
      <c r="A7" s="3" t="s">
        <v>114</v>
      </c>
      <c r="B7" s="3" t="s">
        <v>115</v>
      </c>
      <c r="C7" s="3" t="s">
        <v>27</v>
      </c>
      <c r="D7" s="3" t="s">
        <v>116</v>
      </c>
      <c r="E7" s="3" t="s">
        <v>117</v>
      </c>
      <c r="F7" s="3" t="s">
        <v>100</v>
      </c>
    </row>
    <row r="8" spans="1:6" ht="15" customHeight="1" x14ac:dyDescent="0.35">
      <c r="A8" s="3" t="s">
        <v>118</v>
      </c>
      <c r="B8" s="3" t="s">
        <v>119</v>
      </c>
      <c r="C8" s="3" t="s">
        <v>120</v>
      </c>
      <c r="D8" s="3" t="s">
        <v>121</v>
      </c>
      <c r="E8" s="3" t="s">
        <v>122</v>
      </c>
      <c r="F8" s="3" t="s">
        <v>100</v>
      </c>
    </row>
    <row r="9" spans="1:6" ht="15" customHeight="1" x14ac:dyDescent="0.35">
      <c r="A9" s="3" t="s">
        <v>123</v>
      </c>
      <c r="B9" s="3" t="s">
        <v>124</v>
      </c>
      <c r="C9" s="3" t="s">
        <v>50</v>
      </c>
      <c r="D9" s="3" t="s">
        <v>125</v>
      </c>
      <c r="E9" s="3" t="s">
        <v>126</v>
      </c>
      <c r="F9" s="3" t="s">
        <v>100</v>
      </c>
    </row>
    <row r="10" spans="1:6" ht="15" customHeight="1" x14ac:dyDescent="0.35">
      <c r="A10" s="3" t="s">
        <v>127</v>
      </c>
      <c r="B10" s="3" t="s">
        <v>128</v>
      </c>
      <c r="C10" s="3" t="s">
        <v>27</v>
      </c>
      <c r="D10" s="3" t="s">
        <v>129</v>
      </c>
      <c r="E10" s="3" t="s">
        <v>130</v>
      </c>
      <c r="F10" s="3" t="s">
        <v>100</v>
      </c>
    </row>
    <row r="11" spans="1:6" ht="15" customHeight="1" x14ac:dyDescent="0.35">
      <c r="A11" s="3" t="s">
        <v>131</v>
      </c>
      <c r="B11" s="3" t="s">
        <v>132</v>
      </c>
      <c r="C11" s="3" t="s">
        <v>61</v>
      </c>
      <c r="D11" s="3" t="s">
        <v>133</v>
      </c>
      <c r="E11" s="3" t="s">
        <v>113</v>
      </c>
      <c r="F11" s="3" t="s">
        <v>100</v>
      </c>
    </row>
    <row r="12" spans="1:6" ht="15" customHeight="1" x14ac:dyDescent="0.35">
      <c r="A12" s="3" t="s">
        <v>134</v>
      </c>
      <c r="B12" s="3" t="s">
        <v>135</v>
      </c>
      <c r="C12" s="3" t="s">
        <v>61</v>
      </c>
      <c r="D12" s="3" t="s">
        <v>136</v>
      </c>
      <c r="E12" s="3" t="s">
        <v>137</v>
      </c>
      <c r="F12" s="3" t="s">
        <v>100</v>
      </c>
    </row>
    <row r="13" spans="1:6" ht="15" customHeight="1" x14ac:dyDescent="0.35">
      <c r="A13" s="3" t="s">
        <v>138</v>
      </c>
      <c r="B13" s="3" t="s">
        <v>139</v>
      </c>
      <c r="C13" s="3" t="s">
        <v>50</v>
      </c>
      <c r="D13" s="3" t="s">
        <v>140</v>
      </c>
      <c r="E13" s="3" t="s">
        <v>126</v>
      </c>
      <c r="F13" s="3" t="s">
        <v>100</v>
      </c>
    </row>
    <row r="14" spans="1:6" ht="15" customHeight="1" x14ac:dyDescent="0.35">
      <c r="A14" s="3" t="s">
        <v>141</v>
      </c>
      <c r="B14" s="3" t="s">
        <v>142</v>
      </c>
      <c r="C14" s="3" t="s">
        <v>27</v>
      </c>
      <c r="D14" s="3" t="s">
        <v>143</v>
      </c>
      <c r="E14" s="3" t="s">
        <v>144</v>
      </c>
      <c r="F14" s="3" t="s">
        <v>109</v>
      </c>
    </row>
    <row r="15" spans="1:6" ht="15" customHeight="1" x14ac:dyDescent="0.35">
      <c r="A15" s="3" t="s">
        <v>145</v>
      </c>
      <c r="B15" s="3" t="s">
        <v>146</v>
      </c>
      <c r="C15" s="3" t="s">
        <v>27</v>
      </c>
      <c r="D15" s="3" t="s">
        <v>147</v>
      </c>
      <c r="E15" s="3" t="s">
        <v>104</v>
      </c>
      <c r="F15" s="3" t="s">
        <v>109</v>
      </c>
    </row>
    <row r="16" spans="1:6" ht="15" customHeight="1" x14ac:dyDescent="0.35">
      <c r="A16" s="3" t="s">
        <v>148</v>
      </c>
      <c r="B16" s="3" t="s">
        <v>149</v>
      </c>
      <c r="C16" s="3" t="s">
        <v>150</v>
      </c>
      <c r="D16" s="3" t="s">
        <v>151</v>
      </c>
      <c r="E16" s="3" t="s">
        <v>152</v>
      </c>
      <c r="F16" s="3" t="s">
        <v>100</v>
      </c>
    </row>
    <row r="17" spans="1:6" ht="15" customHeight="1" x14ac:dyDescent="0.35">
      <c r="A17" s="3" t="s">
        <v>153</v>
      </c>
      <c r="B17" s="3" t="s">
        <v>154</v>
      </c>
      <c r="C17" s="3" t="s">
        <v>82</v>
      </c>
      <c r="D17" s="3" t="s">
        <v>155</v>
      </c>
      <c r="E17" s="3" t="s">
        <v>108</v>
      </c>
      <c r="F17" s="3" t="s">
        <v>109</v>
      </c>
    </row>
    <row r="18" spans="1:6" ht="15" customHeight="1" x14ac:dyDescent="0.35">
      <c r="A18" s="3" t="s">
        <v>156</v>
      </c>
      <c r="B18" s="3" t="s">
        <v>157</v>
      </c>
      <c r="C18" s="3" t="s">
        <v>86</v>
      </c>
      <c r="D18" s="3" t="s">
        <v>158</v>
      </c>
      <c r="E18" s="3" t="s">
        <v>159</v>
      </c>
      <c r="F18" s="3" t="s">
        <v>100</v>
      </c>
    </row>
    <row r="19" spans="1:6" ht="15" customHeight="1" x14ac:dyDescent="0.35">
      <c r="A19" s="3"/>
      <c r="B19" s="3"/>
      <c r="C19" s="3"/>
      <c r="D19" s="3"/>
      <c r="E19" s="3"/>
      <c r="F19" s="3"/>
    </row>
    <row r="20" spans="1:6" ht="15" customHeight="1" x14ac:dyDescent="0.35">
      <c r="A20" s="3"/>
      <c r="B20" s="3"/>
      <c r="C20" s="3"/>
      <c r="D20" s="3"/>
      <c r="E20" s="3"/>
      <c r="F20" s="3"/>
    </row>
    <row r="21" spans="1:6" ht="15" customHeight="1" x14ac:dyDescent="0.35">
      <c r="A21" s="3"/>
      <c r="B21" s="3"/>
      <c r="C21" s="3"/>
      <c r="D21" s="3"/>
      <c r="E21" s="3"/>
      <c r="F21" s="3"/>
    </row>
    <row r="22" spans="1:6" ht="15" customHeight="1" x14ac:dyDescent="0.35">
      <c r="A22" s="3"/>
      <c r="B22" s="3"/>
      <c r="C22" s="3"/>
      <c r="D22" s="3"/>
      <c r="E22" s="3"/>
      <c r="F22" s="3"/>
    </row>
    <row r="23" spans="1:6" ht="15" customHeight="1" x14ac:dyDescent="0.35">
      <c r="A23" s="3"/>
      <c r="B23" s="3"/>
      <c r="C23" s="3"/>
      <c r="D23" s="3"/>
      <c r="E23" s="3"/>
      <c r="F23" s="3"/>
    </row>
    <row r="24" spans="1:6" ht="15" customHeight="1" x14ac:dyDescent="0.35">
      <c r="A24" s="3"/>
      <c r="B24" s="3"/>
      <c r="C24" s="3"/>
      <c r="D24" s="3"/>
      <c r="E24" s="3"/>
      <c r="F24" s="3"/>
    </row>
    <row r="25" spans="1:6" ht="15" customHeight="1" x14ac:dyDescent="0.35">
      <c r="A25" s="3"/>
      <c r="B25" s="3"/>
      <c r="C25" s="3"/>
      <c r="D25" s="3"/>
      <c r="E25" s="3"/>
      <c r="F25" s="3"/>
    </row>
    <row r="26" spans="1:6" ht="15" customHeight="1" x14ac:dyDescent="0.35">
      <c r="A26" s="3"/>
      <c r="B26" s="3"/>
      <c r="C26" s="3"/>
      <c r="D26" s="3"/>
      <c r="E26" s="3"/>
      <c r="F26" s="3"/>
    </row>
    <row r="27" spans="1:6" ht="15" customHeight="1" x14ac:dyDescent="0.35">
      <c r="A27" s="3"/>
      <c r="B27" s="3"/>
      <c r="C27" s="3"/>
      <c r="D27" s="3"/>
      <c r="E27" s="3"/>
      <c r="F27" s="3"/>
    </row>
    <row r="28" spans="1:6" ht="15" customHeight="1" x14ac:dyDescent="0.35">
      <c r="A28" s="3"/>
      <c r="B28" s="3"/>
      <c r="C28" s="3"/>
      <c r="D28" s="3"/>
      <c r="E28" s="3"/>
      <c r="F28" s="3"/>
    </row>
    <row r="29" spans="1:6" ht="15" customHeight="1" x14ac:dyDescent="0.35">
      <c r="A29" s="3"/>
      <c r="B29" s="3"/>
      <c r="C29" s="3"/>
      <c r="D29" s="3"/>
      <c r="E29" s="3"/>
      <c r="F29" s="3"/>
    </row>
    <row r="30" spans="1:6" ht="15" customHeight="1" x14ac:dyDescent="0.35">
      <c r="A30" s="3"/>
      <c r="B30" s="3"/>
      <c r="C30" s="3"/>
      <c r="D30" s="3"/>
      <c r="E30" s="3"/>
      <c r="F30" s="3"/>
    </row>
    <row r="31" spans="1:6" ht="15" customHeight="1" x14ac:dyDescent="0.35">
      <c r="A31" s="3"/>
      <c r="B31" s="3"/>
      <c r="C31" s="3"/>
      <c r="D31" s="3"/>
      <c r="E31" s="3"/>
      <c r="F31" s="3"/>
    </row>
    <row r="32" spans="1:6" ht="15" customHeight="1" x14ac:dyDescent="0.35">
      <c r="A32" s="3"/>
      <c r="B32" s="3"/>
      <c r="C32" s="3"/>
      <c r="D32" s="3"/>
      <c r="E32" s="3"/>
      <c r="F32" s="3"/>
    </row>
    <row r="33" spans="1:6" ht="15" customHeight="1" x14ac:dyDescent="0.35">
      <c r="A33" s="3"/>
      <c r="B33" s="3"/>
      <c r="C33" s="3"/>
      <c r="D33" s="3"/>
      <c r="E33" s="3"/>
      <c r="F33" s="3"/>
    </row>
    <row r="34" spans="1:6" ht="15" customHeight="1" x14ac:dyDescent="0.35">
      <c r="A34" s="3"/>
      <c r="B34" s="3"/>
      <c r="C34" s="3"/>
      <c r="D34" s="3"/>
      <c r="E34" s="3"/>
      <c r="F34" s="3"/>
    </row>
    <row r="35" spans="1:6" ht="15" customHeight="1" x14ac:dyDescent="0.35">
      <c r="A35" s="3"/>
      <c r="B35" s="3"/>
      <c r="C35" s="3"/>
      <c r="D35" s="3"/>
      <c r="E35" s="3"/>
      <c r="F35" s="3"/>
    </row>
    <row r="36" spans="1:6" ht="15" customHeight="1" x14ac:dyDescent="0.35">
      <c r="A36" s="3"/>
      <c r="B36" s="3"/>
      <c r="C36" s="3"/>
      <c r="D36" s="3"/>
      <c r="E36" s="3"/>
      <c r="F36" s="3"/>
    </row>
    <row r="37" spans="1:6" ht="15" customHeight="1" x14ac:dyDescent="0.35">
      <c r="A37" s="3"/>
      <c r="B37" s="3"/>
      <c r="C37" s="3"/>
      <c r="D37" s="3"/>
      <c r="E37" s="3"/>
      <c r="F37" s="3"/>
    </row>
    <row r="38" spans="1:6" ht="15" customHeight="1" x14ac:dyDescent="0.35">
      <c r="A38" s="3"/>
      <c r="B38" s="3"/>
      <c r="C38" s="3"/>
      <c r="D38" s="3"/>
      <c r="E38" s="3"/>
      <c r="F38" s="3"/>
    </row>
    <row r="39" spans="1:6" ht="15" customHeight="1" x14ac:dyDescent="0.35">
      <c r="A39" s="3"/>
      <c r="B39" s="3"/>
      <c r="C39" s="3"/>
      <c r="D39" s="3"/>
      <c r="E39" s="3"/>
      <c r="F39" s="3"/>
    </row>
    <row r="40" spans="1:6" ht="15" customHeight="1" x14ac:dyDescent="0.35">
      <c r="A40" s="3"/>
      <c r="B40" s="3"/>
      <c r="C40" s="3"/>
      <c r="D40" s="3"/>
      <c r="E40" s="3"/>
      <c r="F40" s="3"/>
    </row>
    <row r="41" spans="1:6" ht="15" customHeight="1" x14ac:dyDescent="0.35">
      <c r="A41" s="3"/>
      <c r="B41" s="3"/>
      <c r="C41" s="3"/>
      <c r="D41" s="3"/>
      <c r="E41" s="3"/>
      <c r="F41" s="3"/>
    </row>
    <row r="42" spans="1:6" ht="15" customHeight="1" x14ac:dyDescent="0.35">
      <c r="A42" s="3"/>
      <c r="B42" s="3"/>
      <c r="C42" s="3"/>
      <c r="D42" s="3"/>
      <c r="E42" s="3"/>
      <c r="F42" s="3"/>
    </row>
    <row r="43" spans="1:6" ht="15" customHeight="1" x14ac:dyDescent="0.35">
      <c r="A43" s="3"/>
      <c r="B43" s="3"/>
      <c r="C43" s="3"/>
      <c r="D43" s="3"/>
      <c r="E43" s="3"/>
      <c r="F43" s="3"/>
    </row>
    <row r="44" spans="1:6" ht="15" customHeight="1" x14ac:dyDescent="0.35">
      <c r="A44" s="3"/>
      <c r="B44" s="3"/>
      <c r="C44" s="3"/>
      <c r="D44" s="3"/>
      <c r="E44" s="3"/>
      <c r="F44" s="3"/>
    </row>
    <row r="45" spans="1:6" ht="15" customHeight="1" x14ac:dyDescent="0.35">
      <c r="A45" s="3"/>
      <c r="B45" s="3"/>
      <c r="C45" s="3"/>
      <c r="D45" s="3"/>
      <c r="E45" s="3"/>
      <c r="F45" s="3"/>
    </row>
    <row r="46" spans="1:6" ht="15" customHeight="1" x14ac:dyDescent="0.35">
      <c r="A46" s="3"/>
      <c r="B46" s="3"/>
      <c r="C46" s="3"/>
      <c r="D46" s="3"/>
      <c r="E46" s="3"/>
      <c r="F46" s="3"/>
    </row>
    <row r="47" spans="1:6" ht="15" customHeight="1" x14ac:dyDescent="0.35">
      <c r="A47" s="3"/>
      <c r="B47" s="3"/>
      <c r="C47" s="3"/>
      <c r="D47" s="3"/>
      <c r="E47" s="3"/>
      <c r="F47" s="3"/>
    </row>
    <row r="48" spans="1:6" ht="15" customHeight="1" x14ac:dyDescent="0.35">
      <c r="A48" s="3"/>
      <c r="B48" s="3"/>
      <c r="C48" s="3"/>
      <c r="D48" s="3"/>
      <c r="E48" s="3"/>
      <c r="F48" s="3"/>
    </row>
    <row r="49" spans="1:6" ht="15" customHeight="1" x14ac:dyDescent="0.35">
      <c r="A49" s="3"/>
      <c r="B49" s="3"/>
      <c r="C49" s="3"/>
      <c r="D49" s="3"/>
      <c r="E49" s="3"/>
      <c r="F49" s="3"/>
    </row>
    <row r="50" spans="1:6" ht="15" customHeight="1" x14ac:dyDescent="0.35">
      <c r="A50" s="3"/>
      <c r="B50" s="3"/>
      <c r="C50" s="3"/>
      <c r="D50" s="3"/>
      <c r="E50" s="3"/>
      <c r="F50" s="3"/>
    </row>
    <row r="51" spans="1:6" ht="15" customHeight="1" x14ac:dyDescent="0.35">
      <c r="A51" s="3"/>
      <c r="B51" s="3"/>
      <c r="C51" s="3"/>
      <c r="D51" s="3"/>
      <c r="E51" s="3"/>
      <c r="F51" s="3"/>
    </row>
    <row r="52" spans="1:6" ht="15" customHeight="1" x14ac:dyDescent="0.35">
      <c r="A52" s="3"/>
      <c r="B52" s="3"/>
      <c r="C52" s="3"/>
      <c r="D52" s="3"/>
      <c r="E52" s="3"/>
      <c r="F52" s="3"/>
    </row>
    <row r="53" spans="1:6" ht="15" customHeight="1" x14ac:dyDescent="0.35">
      <c r="A53" s="3"/>
      <c r="B53" s="3"/>
      <c r="C53" s="3"/>
      <c r="D53" s="3"/>
      <c r="E53" s="3"/>
      <c r="F53" s="3"/>
    </row>
    <row r="54" spans="1:6" ht="15" customHeight="1" x14ac:dyDescent="0.35">
      <c r="A54" s="3"/>
      <c r="B54" s="3"/>
      <c r="C54" s="3"/>
      <c r="D54" s="3"/>
      <c r="E54" s="3"/>
      <c r="F54" s="3"/>
    </row>
    <row r="55" spans="1:6" ht="15" customHeight="1" x14ac:dyDescent="0.35">
      <c r="A55" s="3"/>
      <c r="B55" s="3"/>
      <c r="C55" s="3"/>
      <c r="D55" s="3"/>
      <c r="E55" s="3"/>
      <c r="F55" s="3"/>
    </row>
    <row r="56" spans="1:6" ht="15" customHeight="1" x14ac:dyDescent="0.35">
      <c r="A56" s="3"/>
      <c r="B56" s="3"/>
      <c r="C56" s="3"/>
      <c r="D56" s="3"/>
      <c r="E56" s="3"/>
      <c r="F56" s="3"/>
    </row>
    <row r="57" spans="1:6" ht="15" customHeight="1" x14ac:dyDescent="0.35">
      <c r="A57" s="3"/>
      <c r="B57" s="3"/>
      <c r="C57" s="3"/>
      <c r="D57" s="3"/>
      <c r="E57" s="3"/>
      <c r="F57" s="3"/>
    </row>
    <row r="58" spans="1:6" ht="15" customHeight="1" x14ac:dyDescent="0.35">
      <c r="A58" s="3"/>
      <c r="B58" s="3"/>
      <c r="C58" s="3"/>
      <c r="D58" s="3"/>
      <c r="E58" s="3"/>
      <c r="F58" s="3"/>
    </row>
    <row r="60" spans="1:6" x14ac:dyDescent="0.35">
      <c r="A60" s="12"/>
      <c r="B60" s="10"/>
      <c r="C60" s="10"/>
      <c r="D60" s="10"/>
      <c r="E60" s="10"/>
      <c r="F60" s="11"/>
    </row>
  </sheetData>
  <mergeCells count="1">
    <mergeCell ref="A60:F6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Lists!$E$2:$E$7</xm:f>
          </x14:formula1>
          <x14:formula2>
            <xm:f>0</xm:f>
          </x14:formula2>
          <xm:sqref>C3:C58</xm:sqref>
        </x14:dataValidation>
        <x14:dataValidation type="list" allowBlank="1" xr:uid="{00000000-0002-0000-0100-000001000000}">
          <x14:formula1>
            <xm:f>Lists!$F$2:$F$5</xm:f>
          </x14:formula1>
          <x14:formula2>
            <xm:f>0</xm:f>
          </x14:formula2>
          <xm:sqref>F3:F58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zoomScaleNormal="100" workbookViewId="0">
      <pane ySplit="2" topLeftCell="A43" activePane="bottomLeft" state="frozen"/>
      <selection pane="bottomLeft" activeCell="B13" sqref="B13"/>
    </sheetView>
  </sheetViews>
  <sheetFormatPr defaultColWidth="8.6328125" defaultRowHeight="14.5" x14ac:dyDescent="0.35"/>
  <cols>
    <col min="1" max="1" width="22" customWidth="1"/>
    <col min="2" max="2" width="40" customWidth="1"/>
    <col min="3" max="3" width="16" customWidth="1"/>
    <col min="4" max="4" width="13" customWidth="1"/>
    <col min="5" max="5" width="50" customWidth="1"/>
    <col min="6" max="6" width="13" customWidth="1"/>
  </cols>
  <sheetData>
    <row r="1" spans="1:6" ht="17.399999999999999" customHeight="1" x14ac:dyDescent="0.35">
      <c r="A1" s="1" t="s">
        <v>160</v>
      </c>
    </row>
    <row r="2" spans="1:6" ht="31.5" customHeight="1" x14ac:dyDescent="0.35">
      <c r="A2" s="2" t="s">
        <v>161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6</v>
      </c>
    </row>
    <row r="3" spans="1:6" ht="15" customHeight="1" x14ac:dyDescent="0.35">
      <c r="A3" s="3" t="s">
        <v>166</v>
      </c>
      <c r="B3" s="3" t="s">
        <v>167</v>
      </c>
      <c r="C3" s="3" t="s">
        <v>168</v>
      </c>
      <c r="D3" s="4">
        <v>46316</v>
      </c>
      <c r="E3" s="3" t="s">
        <v>169</v>
      </c>
      <c r="F3" s="3" t="s">
        <v>170</v>
      </c>
    </row>
    <row r="4" spans="1:6" ht="15" customHeight="1" x14ac:dyDescent="0.35">
      <c r="A4" s="3" t="s">
        <v>171</v>
      </c>
      <c r="B4" s="3" t="s">
        <v>172</v>
      </c>
      <c r="C4" s="3" t="s">
        <v>173</v>
      </c>
      <c r="D4" s="4">
        <v>46317</v>
      </c>
      <c r="E4" s="3" t="s">
        <v>174</v>
      </c>
      <c r="F4" s="3" t="s">
        <v>16</v>
      </c>
    </row>
    <row r="5" spans="1:6" ht="15" customHeight="1" x14ac:dyDescent="0.35">
      <c r="A5" s="3" t="s">
        <v>175</v>
      </c>
      <c r="B5" s="3" t="s">
        <v>176</v>
      </c>
      <c r="C5" s="3" t="s">
        <v>177</v>
      </c>
      <c r="D5" s="4">
        <v>46318</v>
      </c>
      <c r="E5" s="3" t="s">
        <v>178</v>
      </c>
      <c r="F5" s="3" t="s">
        <v>170</v>
      </c>
    </row>
    <row r="6" spans="1:6" ht="15" customHeight="1" x14ac:dyDescent="0.35">
      <c r="A6" s="3" t="s">
        <v>171</v>
      </c>
      <c r="B6" s="3" t="s">
        <v>179</v>
      </c>
      <c r="C6" s="3" t="s">
        <v>173</v>
      </c>
      <c r="D6" s="4">
        <v>46319</v>
      </c>
      <c r="E6" s="3" t="s">
        <v>180</v>
      </c>
      <c r="F6" s="3" t="s">
        <v>16</v>
      </c>
    </row>
    <row r="7" spans="1:6" ht="15" customHeight="1" x14ac:dyDescent="0.35">
      <c r="A7" s="3" t="s">
        <v>166</v>
      </c>
      <c r="B7" s="3" t="s">
        <v>181</v>
      </c>
      <c r="C7" s="3" t="s">
        <v>168</v>
      </c>
      <c r="D7" s="4">
        <v>46319</v>
      </c>
      <c r="E7" s="3" t="s">
        <v>182</v>
      </c>
      <c r="F7" s="3" t="s">
        <v>170</v>
      </c>
    </row>
    <row r="8" spans="1:6" ht="15" customHeight="1" x14ac:dyDescent="0.35">
      <c r="A8" s="3" t="s">
        <v>183</v>
      </c>
      <c r="B8" s="3" t="s">
        <v>184</v>
      </c>
      <c r="C8" s="3" t="s">
        <v>185</v>
      </c>
      <c r="D8" s="4">
        <v>46319</v>
      </c>
      <c r="E8" s="3" t="s">
        <v>186</v>
      </c>
      <c r="F8" s="3" t="s">
        <v>16</v>
      </c>
    </row>
    <row r="9" spans="1:6" ht="15" customHeight="1" x14ac:dyDescent="0.35">
      <c r="A9" s="3" t="s">
        <v>187</v>
      </c>
      <c r="B9" s="3" t="s">
        <v>188</v>
      </c>
      <c r="C9" s="3" t="s">
        <v>189</v>
      </c>
      <c r="D9" s="4">
        <v>46320</v>
      </c>
      <c r="E9" s="3" t="s">
        <v>190</v>
      </c>
      <c r="F9" s="3" t="s">
        <v>16</v>
      </c>
    </row>
    <row r="10" spans="1:6" ht="15" customHeight="1" x14ac:dyDescent="0.35">
      <c r="A10" s="3" t="s">
        <v>175</v>
      </c>
      <c r="B10" s="3" t="s">
        <v>191</v>
      </c>
      <c r="C10" s="3" t="s">
        <v>177</v>
      </c>
      <c r="D10" s="4">
        <v>46320</v>
      </c>
      <c r="E10" s="3" t="s">
        <v>192</v>
      </c>
      <c r="F10" s="3" t="s">
        <v>193</v>
      </c>
    </row>
    <row r="11" spans="1:6" ht="15" customHeight="1" x14ac:dyDescent="0.35">
      <c r="A11" s="3" t="s">
        <v>171</v>
      </c>
      <c r="B11" s="3" t="s">
        <v>194</v>
      </c>
      <c r="C11" s="3" t="s">
        <v>173</v>
      </c>
      <c r="D11" s="4">
        <v>46320</v>
      </c>
      <c r="E11" s="3" t="s">
        <v>195</v>
      </c>
      <c r="F11" s="3" t="s">
        <v>170</v>
      </c>
    </row>
    <row r="12" spans="1:6" ht="15" customHeight="1" x14ac:dyDescent="0.35">
      <c r="A12" s="3" t="s">
        <v>175</v>
      </c>
      <c r="B12" s="3" t="s">
        <v>196</v>
      </c>
      <c r="C12" s="3" t="s">
        <v>177</v>
      </c>
      <c r="D12" s="4">
        <v>46320</v>
      </c>
      <c r="E12" s="3" t="s">
        <v>197</v>
      </c>
      <c r="F12" s="3" t="s">
        <v>170</v>
      </c>
    </row>
    <row r="13" spans="1:6" ht="15" customHeight="1" x14ac:dyDescent="0.35">
      <c r="A13" s="3" t="s">
        <v>187</v>
      </c>
      <c r="B13" s="3" t="s">
        <v>198</v>
      </c>
      <c r="C13" s="3" t="s">
        <v>189</v>
      </c>
      <c r="D13" s="4">
        <v>46320</v>
      </c>
      <c r="E13" s="3" t="s">
        <v>199</v>
      </c>
      <c r="F13" s="3" t="s">
        <v>16</v>
      </c>
    </row>
    <row r="14" spans="1:6" ht="15" customHeight="1" x14ac:dyDescent="0.35">
      <c r="A14" s="3" t="s">
        <v>166</v>
      </c>
      <c r="B14" s="3" t="s">
        <v>200</v>
      </c>
      <c r="C14" s="3" t="s">
        <v>168</v>
      </c>
      <c r="D14" s="4">
        <v>46320</v>
      </c>
      <c r="E14" s="3" t="s">
        <v>201</v>
      </c>
      <c r="F14" s="3" t="s">
        <v>170</v>
      </c>
    </row>
    <row r="15" spans="1:6" ht="15" customHeight="1" x14ac:dyDescent="0.35">
      <c r="A15" s="3" t="s">
        <v>202</v>
      </c>
      <c r="B15" s="3" t="s">
        <v>203</v>
      </c>
      <c r="C15" s="3" t="s">
        <v>185</v>
      </c>
      <c r="D15" s="4">
        <v>46320</v>
      </c>
      <c r="E15" s="3" t="s">
        <v>204</v>
      </c>
      <c r="F15" s="3" t="s">
        <v>109</v>
      </c>
    </row>
    <row r="16" spans="1:6" ht="15" customHeight="1" x14ac:dyDescent="0.35">
      <c r="A16" s="3" t="s">
        <v>205</v>
      </c>
      <c r="B16" s="3" t="s">
        <v>206</v>
      </c>
      <c r="C16" s="3" t="s">
        <v>173</v>
      </c>
      <c r="D16" s="4">
        <v>46321</v>
      </c>
      <c r="E16" s="3" t="s">
        <v>207</v>
      </c>
      <c r="F16" s="3" t="s">
        <v>193</v>
      </c>
    </row>
    <row r="17" spans="1:6" ht="15" customHeight="1" x14ac:dyDescent="0.35">
      <c r="A17" s="3" t="s">
        <v>208</v>
      </c>
      <c r="B17" s="3" t="s">
        <v>209</v>
      </c>
      <c r="C17" s="3" t="s">
        <v>177</v>
      </c>
      <c r="D17" s="4">
        <v>46321</v>
      </c>
      <c r="E17" s="3" t="s">
        <v>210</v>
      </c>
      <c r="F17" s="3" t="s">
        <v>109</v>
      </c>
    </row>
    <row r="18" spans="1:6" ht="15" customHeight="1" x14ac:dyDescent="0.35">
      <c r="A18" s="3" t="s">
        <v>211</v>
      </c>
      <c r="B18" s="3" t="s">
        <v>212</v>
      </c>
      <c r="C18" s="3" t="s">
        <v>173</v>
      </c>
      <c r="D18" s="4">
        <v>46321</v>
      </c>
      <c r="E18" s="3" t="s">
        <v>213</v>
      </c>
      <c r="F18" s="3" t="s">
        <v>16</v>
      </c>
    </row>
    <row r="19" spans="1:6" ht="15" customHeight="1" x14ac:dyDescent="0.35">
      <c r="A19" s="3"/>
      <c r="B19" s="3"/>
      <c r="C19" s="3"/>
      <c r="D19" s="4"/>
      <c r="E19" s="3"/>
      <c r="F19" s="3"/>
    </row>
    <row r="20" spans="1:6" ht="15" customHeight="1" x14ac:dyDescent="0.35">
      <c r="A20" s="3"/>
      <c r="B20" s="3"/>
      <c r="C20" s="3"/>
      <c r="D20" s="4"/>
      <c r="E20" s="3"/>
      <c r="F20" s="3"/>
    </row>
    <row r="21" spans="1:6" ht="15" customHeight="1" x14ac:dyDescent="0.35">
      <c r="A21" s="3"/>
      <c r="B21" s="3"/>
      <c r="C21" s="3"/>
      <c r="D21" s="4"/>
      <c r="E21" s="3"/>
      <c r="F21" s="3"/>
    </row>
    <row r="22" spans="1:6" ht="15" customHeight="1" x14ac:dyDescent="0.35">
      <c r="A22" s="3"/>
      <c r="B22" s="3"/>
      <c r="C22" s="3"/>
      <c r="D22" s="4"/>
      <c r="E22" s="3"/>
      <c r="F22" s="3"/>
    </row>
    <row r="23" spans="1:6" ht="15" customHeight="1" x14ac:dyDescent="0.35">
      <c r="A23" s="3"/>
      <c r="B23" s="3"/>
      <c r="C23" s="3"/>
      <c r="D23" s="4"/>
      <c r="E23" s="3"/>
      <c r="F23" s="3"/>
    </row>
    <row r="24" spans="1:6" ht="15" customHeight="1" x14ac:dyDescent="0.35">
      <c r="A24" s="3"/>
      <c r="B24" s="3"/>
      <c r="C24" s="3"/>
      <c r="D24" s="4"/>
      <c r="E24" s="3"/>
      <c r="F24" s="3"/>
    </row>
    <row r="25" spans="1:6" ht="15" customHeight="1" x14ac:dyDescent="0.35">
      <c r="A25" s="3"/>
      <c r="B25" s="3"/>
      <c r="C25" s="3"/>
      <c r="D25" s="4"/>
      <c r="E25" s="3"/>
      <c r="F25" s="3"/>
    </row>
    <row r="26" spans="1:6" ht="15" customHeight="1" x14ac:dyDescent="0.35">
      <c r="A26" s="3"/>
      <c r="B26" s="3"/>
      <c r="C26" s="3"/>
      <c r="D26" s="4"/>
      <c r="E26" s="3"/>
      <c r="F26" s="3"/>
    </row>
    <row r="27" spans="1:6" ht="15" customHeight="1" x14ac:dyDescent="0.35">
      <c r="A27" s="3"/>
      <c r="B27" s="3"/>
      <c r="C27" s="3"/>
      <c r="D27" s="4"/>
      <c r="E27" s="3"/>
      <c r="F27" s="3"/>
    </row>
    <row r="28" spans="1:6" ht="15" customHeight="1" x14ac:dyDescent="0.35">
      <c r="A28" s="3"/>
      <c r="B28" s="3"/>
      <c r="C28" s="3"/>
      <c r="D28" s="4"/>
      <c r="E28" s="3"/>
      <c r="F28" s="3"/>
    </row>
    <row r="29" spans="1:6" ht="15" customHeight="1" x14ac:dyDescent="0.35">
      <c r="A29" s="3"/>
      <c r="B29" s="3"/>
      <c r="C29" s="3"/>
      <c r="D29" s="4"/>
      <c r="E29" s="3"/>
      <c r="F29" s="3"/>
    </row>
    <row r="30" spans="1:6" ht="15" customHeight="1" x14ac:dyDescent="0.35">
      <c r="A30" s="3"/>
      <c r="B30" s="3"/>
      <c r="C30" s="3"/>
      <c r="D30" s="4"/>
      <c r="E30" s="3"/>
      <c r="F30" s="3"/>
    </row>
    <row r="31" spans="1:6" ht="15" customHeight="1" x14ac:dyDescent="0.35">
      <c r="A31" s="3"/>
      <c r="B31" s="3"/>
      <c r="C31" s="3"/>
      <c r="D31" s="4"/>
      <c r="E31" s="3"/>
      <c r="F31" s="3"/>
    </row>
    <row r="32" spans="1:6" ht="15" customHeight="1" x14ac:dyDescent="0.35">
      <c r="A32" s="3"/>
      <c r="B32" s="3"/>
      <c r="C32" s="3"/>
      <c r="D32" s="4"/>
      <c r="E32" s="3"/>
      <c r="F32" s="3"/>
    </row>
    <row r="33" spans="1:6" ht="15" customHeight="1" x14ac:dyDescent="0.35">
      <c r="A33" s="3"/>
      <c r="B33" s="3"/>
      <c r="C33" s="3"/>
      <c r="D33" s="4"/>
      <c r="E33" s="3"/>
      <c r="F33" s="3"/>
    </row>
    <row r="34" spans="1:6" ht="15" customHeight="1" x14ac:dyDescent="0.35">
      <c r="A34" s="3"/>
      <c r="B34" s="3"/>
      <c r="C34" s="3"/>
      <c r="D34" s="4"/>
      <c r="E34" s="3"/>
      <c r="F34" s="3"/>
    </row>
    <row r="35" spans="1:6" ht="15" customHeight="1" x14ac:dyDescent="0.35">
      <c r="A35" s="3"/>
      <c r="B35" s="3"/>
      <c r="C35" s="3"/>
      <c r="D35" s="4"/>
      <c r="E35" s="3"/>
      <c r="F35" s="3"/>
    </row>
    <row r="36" spans="1:6" ht="15" customHeight="1" x14ac:dyDescent="0.35">
      <c r="A36" s="3"/>
      <c r="B36" s="3"/>
      <c r="C36" s="3"/>
      <c r="D36" s="4"/>
      <c r="E36" s="3"/>
      <c r="F36" s="3"/>
    </row>
    <row r="37" spans="1:6" ht="15" customHeight="1" x14ac:dyDescent="0.35">
      <c r="A37" s="3"/>
      <c r="B37" s="3"/>
      <c r="C37" s="3"/>
      <c r="D37" s="4"/>
      <c r="E37" s="3"/>
      <c r="F37" s="3"/>
    </row>
    <row r="38" spans="1:6" ht="15" customHeight="1" x14ac:dyDescent="0.35">
      <c r="A38" s="3"/>
      <c r="B38" s="3"/>
      <c r="C38" s="3"/>
      <c r="D38" s="4"/>
      <c r="E38" s="3"/>
      <c r="F38" s="3"/>
    </row>
    <row r="39" spans="1:6" ht="15" customHeight="1" x14ac:dyDescent="0.35">
      <c r="A39" s="3"/>
      <c r="B39" s="3"/>
      <c r="C39" s="3"/>
      <c r="D39" s="4"/>
      <c r="E39" s="3"/>
      <c r="F39" s="3"/>
    </row>
    <row r="40" spans="1:6" ht="15" customHeight="1" x14ac:dyDescent="0.35">
      <c r="A40" s="3"/>
      <c r="B40" s="3"/>
      <c r="C40" s="3"/>
      <c r="D40" s="4"/>
      <c r="E40" s="3"/>
      <c r="F40" s="3"/>
    </row>
    <row r="41" spans="1:6" ht="15" customHeight="1" x14ac:dyDescent="0.35">
      <c r="A41" s="3"/>
      <c r="B41" s="3"/>
      <c r="C41" s="3"/>
      <c r="D41" s="4"/>
      <c r="E41" s="3"/>
      <c r="F41" s="3"/>
    </row>
    <row r="42" spans="1:6" ht="15" customHeight="1" x14ac:dyDescent="0.35">
      <c r="A42" s="3"/>
      <c r="B42" s="3"/>
      <c r="C42" s="3"/>
      <c r="D42" s="4"/>
      <c r="E42" s="3"/>
      <c r="F42" s="3"/>
    </row>
    <row r="43" spans="1:6" ht="15" customHeight="1" x14ac:dyDescent="0.35">
      <c r="A43" s="3"/>
      <c r="B43" s="3"/>
      <c r="C43" s="3"/>
      <c r="D43" s="4"/>
      <c r="E43" s="3"/>
      <c r="F43" s="3"/>
    </row>
    <row r="44" spans="1:6" ht="15" customHeight="1" x14ac:dyDescent="0.35">
      <c r="A44" s="3"/>
      <c r="B44" s="3"/>
      <c r="C44" s="3"/>
      <c r="D44" s="4"/>
      <c r="E44" s="3"/>
      <c r="F44" s="3"/>
    </row>
    <row r="45" spans="1:6" ht="15" customHeight="1" x14ac:dyDescent="0.35">
      <c r="A45" s="3"/>
      <c r="B45" s="3"/>
      <c r="C45" s="3"/>
      <c r="D45" s="4"/>
      <c r="E45" s="3"/>
      <c r="F45" s="3"/>
    </row>
    <row r="46" spans="1:6" ht="15" customHeight="1" x14ac:dyDescent="0.35">
      <c r="A46" s="3"/>
      <c r="B46" s="3"/>
      <c r="C46" s="3"/>
      <c r="D46" s="4"/>
      <c r="E46" s="3"/>
      <c r="F46" s="3"/>
    </row>
    <row r="47" spans="1:6" ht="15" customHeight="1" x14ac:dyDescent="0.35">
      <c r="A47" s="3"/>
      <c r="B47" s="3"/>
      <c r="C47" s="3"/>
      <c r="D47" s="4"/>
      <c r="E47" s="3"/>
      <c r="F47" s="3"/>
    </row>
    <row r="48" spans="1:6" ht="15" customHeight="1" x14ac:dyDescent="0.35">
      <c r="A48" s="3"/>
      <c r="B48" s="3"/>
      <c r="C48" s="3"/>
      <c r="D48" s="4"/>
      <c r="E48" s="3"/>
      <c r="F48" s="3"/>
    </row>
    <row r="49" spans="1:6" ht="15" customHeight="1" x14ac:dyDescent="0.35">
      <c r="A49" s="3"/>
      <c r="B49" s="3"/>
      <c r="C49" s="3"/>
      <c r="D49" s="4"/>
      <c r="E49" s="3"/>
      <c r="F49" s="3"/>
    </row>
    <row r="50" spans="1:6" ht="15" customHeight="1" x14ac:dyDescent="0.35">
      <c r="A50" s="3"/>
      <c r="B50" s="3"/>
      <c r="C50" s="3"/>
      <c r="D50" s="4"/>
      <c r="E50" s="3"/>
      <c r="F50" s="3"/>
    </row>
    <row r="51" spans="1:6" ht="15" customHeight="1" x14ac:dyDescent="0.35">
      <c r="A51" s="3"/>
      <c r="B51" s="3"/>
      <c r="C51" s="3"/>
      <c r="D51" s="4"/>
      <c r="E51" s="3"/>
      <c r="F51" s="3"/>
    </row>
    <row r="52" spans="1:6" ht="15" customHeight="1" x14ac:dyDescent="0.35">
      <c r="A52" s="3"/>
      <c r="B52" s="3"/>
      <c r="C52" s="3"/>
      <c r="D52" s="4"/>
      <c r="E52" s="3"/>
      <c r="F52" s="3"/>
    </row>
    <row r="53" spans="1:6" ht="15" customHeight="1" x14ac:dyDescent="0.35">
      <c r="A53" s="3"/>
      <c r="B53" s="3"/>
      <c r="C53" s="3"/>
      <c r="D53" s="4"/>
      <c r="E53" s="3"/>
      <c r="F53" s="3"/>
    </row>
    <row r="54" spans="1:6" ht="15" customHeight="1" x14ac:dyDescent="0.35">
      <c r="A54" s="3"/>
      <c r="B54" s="3"/>
      <c r="C54" s="3"/>
      <c r="D54" s="4"/>
      <c r="E54" s="3"/>
      <c r="F54" s="3"/>
    </row>
    <row r="55" spans="1:6" ht="15" customHeight="1" x14ac:dyDescent="0.35">
      <c r="A55" s="3"/>
      <c r="B55" s="3"/>
      <c r="C55" s="3"/>
      <c r="D55" s="4"/>
      <c r="E55" s="3"/>
      <c r="F55" s="3"/>
    </row>
    <row r="56" spans="1:6" ht="15" customHeight="1" x14ac:dyDescent="0.35">
      <c r="A56" s="3"/>
      <c r="B56" s="3"/>
      <c r="C56" s="3"/>
      <c r="D56" s="4"/>
      <c r="E56" s="3"/>
      <c r="F56" s="3"/>
    </row>
    <row r="57" spans="1:6" ht="15" customHeight="1" x14ac:dyDescent="0.35">
      <c r="A57" s="3"/>
      <c r="B57" s="3"/>
      <c r="C57" s="3"/>
      <c r="D57" s="4"/>
      <c r="E57" s="3"/>
      <c r="F57" s="3"/>
    </row>
    <row r="58" spans="1:6" ht="15" customHeight="1" x14ac:dyDescent="0.35">
      <c r="A58" s="3"/>
      <c r="B58" s="3"/>
      <c r="C58" s="3"/>
      <c r="D58" s="4"/>
      <c r="E58" s="3"/>
      <c r="F58" s="3"/>
    </row>
    <row r="60" spans="1:6" x14ac:dyDescent="0.35">
      <c r="A60" s="12"/>
      <c r="B60" s="10"/>
      <c r="C60" s="10"/>
      <c r="D60" s="10"/>
      <c r="E60" s="10"/>
      <c r="F60" s="11"/>
    </row>
  </sheetData>
  <mergeCells count="1">
    <mergeCell ref="A60:F6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Lists!$G$2:$G$6</xm:f>
          </x14:formula1>
          <x14:formula2>
            <xm:f>0</xm:f>
          </x14:formula2>
          <xm:sqref>A3:A58</xm:sqref>
        </x14:dataValidation>
        <x14:dataValidation type="list" allowBlank="1" xr:uid="{00000000-0002-0000-0200-000001000000}">
          <x14:formula1>
            <xm:f>Lists!$H$2:$H$6</xm:f>
          </x14:formula1>
          <x14:formula2>
            <xm:f>0</xm:f>
          </x14:formula2>
          <xm:sqref>F3:F58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zoomScaleNormal="100" workbookViewId="0">
      <pane ySplit="2" topLeftCell="A53" activePane="bottomLeft" state="frozen"/>
      <selection pane="bottomLeft" activeCell="A60" sqref="A60:G60"/>
    </sheetView>
  </sheetViews>
  <sheetFormatPr defaultColWidth="8.6328125" defaultRowHeight="14.5" x14ac:dyDescent="0.35"/>
  <cols>
    <col min="1" max="1" width="34" customWidth="1"/>
    <col min="2" max="2" width="26" customWidth="1"/>
    <col min="3" max="3" width="13" customWidth="1"/>
    <col min="4" max="5" width="45" customWidth="1"/>
    <col min="6" max="6" width="10" customWidth="1"/>
    <col min="7" max="7" width="13" customWidth="1"/>
  </cols>
  <sheetData>
    <row r="1" spans="1:7" ht="17.399999999999999" customHeight="1" x14ac:dyDescent="0.35">
      <c r="A1" s="1" t="s">
        <v>214</v>
      </c>
    </row>
    <row r="2" spans="1:7" ht="31.5" customHeight="1" x14ac:dyDescent="0.35">
      <c r="A2" s="2" t="s">
        <v>215</v>
      </c>
      <c r="B2" s="2" t="s">
        <v>216</v>
      </c>
      <c r="C2" s="2" t="s">
        <v>217</v>
      </c>
      <c r="D2" s="2" t="s">
        <v>218</v>
      </c>
      <c r="E2" s="2" t="s">
        <v>219</v>
      </c>
      <c r="F2" s="2" t="s">
        <v>220</v>
      </c>
      <c r="G2" s="2" t="s">
        <v>164</v>
      </c>
    </row>
    <row r="3" spans="1:7" ht="15" customHeight="1" x14ac:dyDescent="0.35">
      <c r="A3" s="3" t="s">
        <v>221</v>
      </c>
      <c r="B3" s="3" t="s">
        <v>13</v>
      </c>
      <c r="C3" s="3" t="s">
        <v>11</v>
      </c>
      <c r="D3" s="3" t="s">
        <v>222</v>
      </c>
      <c r="E3" s="3" t="s">
        <v>223</v>
      </c>
      <c r="F3" s="3" t="s">
        <v>224</v>
      </c>
      <c r="G3" s="4">
        <v>46319</v>
      </c>
    </row>
    <row r="4" spans="1:7" ht="15" customHeight="1" x14ac:dyDescent="0.35">
      <c r="A4" s="3" t="s">
        <v>225</v>
      </c>
      <c r="B4" s="3" t="s">
        <v>21</v>
      </c>
      <c r="C4" s="3" t="s">
        <v>11</v>
      </c>
      <c r="D4" s="3" t="s">
        <v>226</v>
      </c>
      <c r="E4" s="3" t="s">
        <v>227</v>
      </c>
      <c r="F4" s="3" t="s">
        <v>224</v>
      </c>
      <c r="G4" s="4">
        <v>46319</v>
      </c>
    </row>
    <row r="5" spans="1:7" ht="15" customHeight="1" x14ac:dyDescent="0.35">
      <c r="A5" s="3" t="s">
        <v>228</v>
      </c>
      <c r="B5" s="3" t="s">
        <v>29</v>
      </c>
      <c r="C5" s="3" t="s">
        <v>229</v>
      </c>
      <c r="D5" s="3" t="s">
        <v>230</v>
      </c>
      <c r="E5" s="3" t="s">
        <v>231</v>
      </c>
      <c r="F5" s="3" t="s">
        <v>224</v>
      </c>
      <c r="G5" s="4">
        <v>46319</v>
      </c>
    </row>
    <row r="6" spans="1:7" ht="15" customHeight="1" x14ac:dyDescent="0.35">
      <c r="A6" s="3" t="s">
        <v>232</v>
      </c>
      <c r="B6" s="3" t="s">
        <v>34</v>
      </c>
      <c r="C6" s="3" t="s">
        <v>229</v>
      </c>
      <c r="D6" s="3" t="s">
        <v>233</v>
      </c>
      <c r="E6" s="3" t="s">
        <v>234</v>
      </c>
      <c r="F6" s="3" t="s">
        <v>224</v>
      </c>
      <c r="G6" s="4">
        <v>46319</v>
      </c>
    </row>
    <row r="7" spans="1:7" ht="15" customHeight="1" x14ac:dyDescent="0.35">
      <c r="A7" s="3" t="s">
        <v>235</v>
      </c>
      <c r="B7" s="3" t="s">
        <v>38</v>
      </c>
      <c r="C7" s="3" t="s">
        <v>229</v>
      </c>
      <c r="D7" s="3" t="s">
        <v>236</v>
      </c>
      <c r="E7" s="3" t="s">
        <v>237</v>
      </c>
      <c r="F7" s="3" t="s">
        <v>224</v>
      </c>
      <c r="G7" s="4">
        <v>46319</v>
      </c>
    </row>
    <row r="8" spans="1:7" ht="15" customHeight="1" x14ac:dyDescent="0.35">
      <c r="A8" s="3" t="s">
        <v>238</v>
      </c>
      <c r="B8" s="3" t="s">
        <v>43</v>
      </c>
      <c r="C8" s="3" t="s">
        <v>42</v>
      </c>
      <c r="D8" s="3" t="s">
        <v>239</v>
      </c>
      <c r="E8" s="3" t="s">
        <v>240</v>
      </c>
      <c r="F8" s="3" t="s">
        <v>224</v>
      </c>
      <c r="G8" s="4">
        <v>46319</v>
      </c>
    </row>
    <row r="9" spans="1:7" ht="15" customHeight="1" x14ac:dyDescent="0.35">
      <c r="A9" s="3" t="s">
        <v>241</v>
      </c>
      <c r="B9" s="3" t="s">
        <v>21</v>
      </c>
      <c r="C9" s="3" t="s">
        <v>11</v>
      </c>
      <c r="D9" s="3" t="s">
        <v>242</v>
      </c>
      <c r="E9" s="3" t="s">
        <v>243</v>
      </c>
      <c r="F9" s="3" t="s">
        <v>224</v>
      </c>
      <c r="G9" s="4">
        <v>46319</v>
      </c>
    </row>
    <row r="10" spans="1:7" ht="15" customHeight="1" x14ac:dyDescent="0.35">
      <c r="A10" s="3" t="s">
        <v>244</v>
      </c>
      <c r="B10" s="3" t="s">
        <v>51</v>
      </c>
      <c r="C10" s="3" t="s">
        <v>50</v>
      </c>
      <c r="D10" s="3" t="s">
        <v>245</v>
      </c>
      <c r="E10" s="3" t="s">
        <v>246</v>
      </c>
      <c r="F10" s="3" t="s">
        <v>224</v>
      </c>
      <c r="G10" s="4">
        <v>46320</v>
      </c>
    </row>
    <row r="11" spans="1:7" ht="15" customHeight="1" x14ac:dyDescent="0.35">
      <c r="A11" s="3" t="s">
        <v>247</v>
      </c>
      <c r="B11" s="3" t="s">
        <v>54</v>
      </c>
      <c r="C11" s="3" t="s">
        <v>11</v>
      </c>
      <c r="D11" s="3" t="s">
        <v>248</v>
      </c>
      <c r="E11" s="3" t="s">
        <v>249</v>
      </c>
      <c r="F11" s="3" t="s">
        <v>224</v>
      </c>
      <c r="G11" s="4">
        <v>46320</v>
      </c>
    </row>
    <row r="12" spans="1:7" ht="15" customHeight="1" x14ac:dyDescent="0.35">
      <c r="A12" s="3" t="s">
        <v>250</v>
      </c>
      <c r="B12" s="3" t="s">
        <v>57</v>
      </c>
      <c r="C12" s="3" t="s">
        <v>229</v>
      </c>
      <c r="D12" s="3" t="s">
        <v>251</v>
      </c>
      <c r="E12" s="3" t="s">
        <v>252</v>
      </c>
      <c r="F12" s="3" t="s">
        <v>224</v>
      </c>
      <c r="G12" s="4">
        <v>46320</v>
      </c>
    </row>
    <row r="13" spans="1:7" ht="15" customHeight="1" x14ac:dyDescent="0.35">
      <c r="A13" s="3" t="s">
        <v>253</v>
      </c>
      <c r="B13" s="3" t="s">
        <v>62</v>
      </c>
      <c r="C13" s="3" t="s">
        <v>11</v>
      </c>
      <c r="D13" s="3" t="s">
        <v>254</v>
      </c>
      <c r="E13" s="3" t="s">
        <v>255</v>
      </c>
      <c r="F13" s="3" t="s">
        <v>224</v>
      </c>
      <c r="G13" s="4">
        <v>46320</v>
      </c>
    </row>
    <row r="14" spans="1:7" ht="15" customHeight="1" x14ac:dyDescent="0.35">
      <c r="A14" s="3" t="s">
        <v>256</v>
      </c>
      <c r="B14" s="3" t="s">
        <v>66</v>
      </c>
      <c r="C14" s="3" t="s">
        <v>50</v>
      </c>
      <c r="D14" s="3" t="s">
        <v>257</v>
      </c>
      <c r="E14" s="3" t="s">
        <v>258</v>
      </c>
      <c r="F14" s="3" t="s">
        <v>224</v>
      </c>
      <c r="G14" s="4">
        <v>46320</v>
      </c>
    </row>
    <row r="15" spans="1:7" ht="15" customHeight="1" x14ac:dyDescent="0.35">
      <c r="A15" s="3" t="s">
        <v>259</v>
      </c>
      <c r="B15" s="3" t="s">
        <v>70</v>
      </c>
      <c r="C15" s="3" t="s">
        <v>229</v>
      </c>
      <c r="D15" s="3" t="s">
        <v>260</v>
      </c>
      <c r="E15" s="3" t="s">
        <v>261</v>
      </c>
      <c r="F15" s="3" t="s">
        <v>224</v>
      </c>
      <c r="G15" s="4">
        <v>46320</v>
      </c>
    </row>
    <row r="16" spans="1:7" ht="15" customHeight="1" x14ac:dyDescent="0.35">
      <c r="A16" s="3" t="s">
        <v>262</v>
      </c>
      <c r="B16" s="3" t="s">
        <v>21</v>
      </c>
      <c r="C16" s="3" t="s">
        <v>11</v>
      </c>
      <c r="D16" s="3" t="s">
        <v>263</v>
      </c>
      <c r="E16" s="3" t="s">
        <v>264</v>
      </c>
      <c r="F16" s="3" t="s">
        <v>224</v>
      </c>
      <c r="G16" s="4">
        <v>46320</v>
      </c>
    </row>
    <row r="17" spans="1:7" ht="15" customHeight="1" x14ac:dyDescent="0.35">
      <c r="A17" s="3" t="s">
        <v>265</v>
      </c>
      <c r="B17" s="3" t="s">
        <v>76</v>
      </c>
      <c r="C17" s="3" t="s">
        <v>229</v>
      </c>
      <c r="D17" s="3" t="s">
        <v>266</v>
      </c>
      <c r="E17" s="3" t="s">
        <v>267</v>
      </c>
      <c r="F17" s="3" t="s">
        <v>224</v>
      </c>
      <c r="G17" s="4">
        <v>46320</v>
      </c>
    </row>
    <row r="18" spans="1:7" ht="15" customHeight="1" x14ac:dyDescent="0.35">
      <c r="A18" s="3" t="s">
        <v>268</v>
      </c>
      <c r="B18" s="3" t="s">
        <v>79</v>
      </c>
      <c r="C18" s="3" t="s">
        <v>11</v>
      </c>
      <c r="D18" s="3" t="s">
        <v>269</v>
      </c>
      <c r="E18" s="3" t="s">
        <v>270</v>
      </c>
      <c r="F18" s="3" t="s">
        <v>224</v>
      </c>
      <c r="G18" s="4">
        <v>46321</v>
      </c>
    </row>
    <row r="19" spans="1:7" ht="15" customHeight="1" x14ac:dyDescent="0.35">
      <c r="A19" s="3" t="s">
        <v>271</v>
      </c>
      <c r="B19" s="3" t="s">
        <v>83</v>
      </c>
      <c r="C19" s="3" t="s">
        <v>272</v>
      </c>
      <c r="D19" s="3" t="s">
        <v>273</v>
      </c>
      <c r="E19" s="3" t="s">
        <v>274</v>
      </c>
      <c r="F19" s="3" t="s">
        <v>224</v>
      </c>
      <c r="G19" s="4">
        <v>46321</v>
      </c>
    </row>
    <row r="20" spans="1:7" ht="15" customHeight="1" x14ac:dyDescent="0.35">
      <c r="A20" s="3" t="s">
        <v>275</v>
      </c>
      <c r="B20" s="3" t="s">
        <v>87</v>
      </c>
      <c r="C20" s="3" t="s">
        <v>276</v>
      </c>
      <c r="D20" s="3" t="s">
        <v>277</v>
      </c>
      <c r="E20" s="3" t="s">
        <v>278</v>
      </c>
      <c r="F20" s="3" t="s">
        <v>224</v>
      </c>
      <c r="G20" s="4">
        <v>46321</v>
      </c>
    </row>
    <row r="21" spans="1:7" ht="15" customHeight="1" x14ac:dyDescent="0.35">
      <c r="A21" s="3"/>
      <c r="B21" s="3"/>
      <c r="C21" s="3"/>
      <c r="D21" s="3"/>
      <c r="E21" s="3"/>
      <c r="F21" s="3"/>
      <c r="G21" s="4"/>
    </row>
    <row r="22" spans="1:7" ht="15" customHeight="1" x14ac:dyDescent="0.35">
      <c r="A22" s="3"/>
      <c r="B22" s="3"/>
      <c r="C22" s="3"/>
      <c r="D22" s="3"/>
      <c r="E22" s="3"/>
      <c r="F22" s="3"/>
      <c r="G22" s="4"/>
    </row>
    <row r="23" spans="1:7" ht="15" customHeight="1" x14ac:dyDescent="0.35">
      <c r="A23" s="3"/>
      <c r="B23" s="3"/>
      <c r="C23" s="3"/>
      <c r="D23" s="3"/>
      <c r="E23" s="3"/>
      <c r="F23" s="3"/>
      <c r="G23" s="4"/>
    </row>
    <row r="24" spans="1:7" ht="15" customHeight="1" x14ac:dyDescent="0.35">
      <c r="A24" s="3"/>
      <c r="B24" s="3"/>
      <c r="C24" s="3"/>
      <c r="D24" s="3"/>
      <c r="E24" s="3"/>
      <c r="F24" s="3"/>
      <c r="G24" s="4"/>
    </row>
    <row r="25" spans="1:7" ht="15" customHeight="1" x14ac:dyDescent="0.35">
      <c r="A25" s="3"/>
      <c r="B25" s="3"/>
      <c r="C25" s="3"/>
      <c r="D25" s="3"/>
      <c r="E25" s="3"/>
      <c r="F25" s="3"/>
      <c r="G25" s="4"/>
    </row>
    <row r="26" spans="1:7" ht="15" customHeight="1" x14ac:dyDescent="0.35">
      <c r="A26" s="3"/>
      <c r="B26" s="3"/>
      <c r="C26" s="3"/>
      <c r="D26" s="3"/>
      <c r="E26" s="3"/>
      <c r="F26" s="3"/>
      <c r="G26" s="4"/>
    </row>
    <row r="27" spans="1:7" ht="15" customHeight="1" x14ac:dyDescent="0.35">
      <c r="A27" s="3"/>
      <c r="B27" s="3"/>
      <c r="C27" s="3"/>
      <c r="D27" s="3"/>
      <c r="E27" s="3"/>
      <c r="F27" s="3"/>
      <c r="G27" s="4"/>
    </row>
    <row r="28" spans="1:7" ht="15" customHeight="1" x14ac:dyDescent="0.35">
      <c r="A28" s="3"/>
      <c r="B28" s="3"/>
      <c r="C28" s="3"/>
      <c r="D28" s="3"/>
      <c r="E28" s="3"/>
      <c r="F28" s="3"/>
      <c r="G28" s="4"/>
    </row>
    <row r="29" spans="1:7" ht="15" customHeight="1" x14ac:dyDescent="0.35">
      <c r="A29" s="3"/>
      <c r="B29" s="3"/>
      <c r="C29" s="3"/>
      <c r="D29" s="3"/>
      <c r="E29" s="3"/>
      <c r="F29" s="3"/>
      <c r="G29" s="4"/>
    </row>
    <row r="30" spans="1:7" ht="15" customHeight="1" x14ac:dyDescent="0.35">
      <c r="A30" s="3"/>
      <c r="B30" s="3"/>
      <c r="C30" s="3"/>
      <c r="D30" s="3"/>
      <c r="E30" s="3"/>
      <c r="F30" s="3"/>
      <c r="G30" s="4"/>
    </row>
    <row r="31" spans="1:7" ht="15" customHeight="1" x14ac:dyDescent="0.35">
      <c r="A31" s="3"/>
      <c r="B31" s="3"/>
      <c r="C31" s="3"/>
      <c r="D31" s="3"/>
      <c r="E31" s="3"/>
      <c r="F31" s="3"/>
      <c r="G31" s="4"/>
    </row>
    <row r="32" spans="1:7" ht="15" customHeight="1" x14ac:dyDescent="0.35">
      <c r="A32" s="3"/>
      <c r="B32" s="3"/>
      <c r="C32" s="3"/>
      <c r="D32" s="3"/>
      <c r="E32" s="3"/>
      <c r="F32" s="3"/>
      <c r="G32" s="4"/>
    </row>
    <row r="33" spans="1:7" ht="15" customHeight="1" x14ac:dyDescent="0.35">
      <c r="A33" s="3"/>
      <c r="B33" s="3"/>
      <c r="C33" s="3"/>
      <c r="D33" s="3"/>
      <c r="E33" s="3"/>
      <c r="F33" s="3"/>
      <c r="G33" s="4"/>
    </row>
    <row r="34" spans="1:7" ht="15" customHeight="1" x14ac:dyDescent="0.35">
      <c r="A34" s="3"/>
      <c r="B34" s="3"/>
      <c r="C34" s="3"/>
      <c r="D34" s="3"/>
      <c r="E34" s="3"/>
      <c r="F34" s="3"/>
      <c r="G34" s="4"/>
    </row>
    <row r="35" spans="1:7" ht="15" customHeight="1" x14ac:dyDescent="0.35">
      <c r="A35" s="3"/>
      <c r="B35" s="3"/>
      <c r="C35" s="3"/>
      <c r="D35" s="3"/>
      <c r="E35" s="3"/>
      <c r="F35" s="3"/>
      <c r="G35" s="4"/>
    </row>
    <row r="36" spans="1:7" ht="15" customHeight="1" x14ac:dyDescent="0.35">
      <c r="A36" s="3"/>
      <c r="B36" s="3"/>
      <c r="C36" s="3"/>
      <c r="D36" s="3"/>
      <c r="E36" s="3"/>
      <c r="F36" s="3"/>
      <c r="G36" s="4"/>
    </row>
    <row r="37" spans="1:7" ht="15" customHeight="1" x14ac:dyDescent="0.35">
      <c r="A37" s="3"/>
      <c r="B37" s="3"/>
      <c r="C37" s="3"/>
      <c r="D37" s="3"/>
      <c r="E37" s="3"/>
      <c r="F37" s="3"/>
      <c r="G37" s="4"/>
    </row>
    <row r="38" spans="1:7" ht="15" customHeight="1" x14ac:dyDescent="0.35">
      <c r="A38" s="3"/>
      <c r="B38" s="3"/>
      <c r="C38" s="3"/>
      <c r="D38" s="3"/>
      <c r="E38" s="3"/>
      <c r="F38" s="3"/>
      <c r="G38" s="4"/>
    </row>
    <row r="39" spans="1:7" ht="15" customHeight="1" x14ac:dyDescent="0.35">
      <c r="A39" s="3"/>
      <c r="B39" s="3"/>
      <c r="C39" s="3"/>
      <c r="D39" s="3"/>
      <c r="E39" s="3"/>
      <c r="F39" s="3"/>
      <c r="G39" s="4"/>
    </row>
    <row r="40" spans="1:7" ht="15" customHeight="1" x14ac:dyDescent="0.35">
      <c r="A40" s="3"/>
      <c r="B40" s="3"/>
      <c r="C40" s="3"/>
      <c r="D40" s="3"/>
      <c r="E40" s="3"/>
      <c r="F40" s="3"/>
      <c r="G40" s="4"/>
    </row>
    <row r="41" spans="1:7" ht="15" customHeight="1" x14ac:dyDescent="0.35">
      <c r="A41" s="3"/>
      <c r="B41" s="3"/>
      <c r="C41" s="3"/>
      <c r="D41" s="3"/>
      <c r="E41" s="3"/>
      <c r="F41" s="3"/>
      <c r="G41" s="4"/>
    </row>
    <row r="42" spans="1:7" ht="15" customHeight="1" x14ac:dyDescent="0.35">
      <c r="A42" s="3"/>
      <c r="B42" s="3"/>
      <c r="C42" s="3"/>
      <c r="D42" s="3"/>
      <c r="E42" s="3"/>
      <c r="F42" s="3"/>
      <c r="G42" s="4"/>
    </row>
    <row r="43" spans="1:7" ht="15" customHeight="1" x14ac:dyDescent="0.35">
      <c r="A43" s="3"/>
      <c r="B43" s="3"/>
      <c r="C43" s="3"/>
      <c r="D43" s="3"/>
      <c r="E43" s="3"/>
      <c r="F43" s="3"/>
      <c r="G43" s="4"/>
    </row>
    <row r="44" spans="1:7" ht="15" customHeight="1" x14ac:dyDescent="0.35">
      <c r="A44" s="3"/>
      <c r="B44" s="3"/>
      <c r="C44" s="3"/>
      <c r="D44" s="3"/>
      <c r="E44" s="3"/>
      <c r="F44" s="3"/>
      <c r="G44" s="4"/>
    </row>
    <row r="45" spans="1:7" ht="15" customHeight="1" x14ac:dyDescent="0.35">
      <c r="A45" s="3"/>
      <c r="B45" s="3"/>
      <c r="C45" s="3"/>
      <c r="D45" s="3"/>
      <c r="E45" s="3"/>
      <c r="F45" s="3"/>
      <c r="G45" s="4"/>
    </row>
    <row r="46" spans="1:7" ht="15" customHeight="1" x14ac:dyDescent="0.35">
      <c r="A46" s="3"/>
      <c r="B46" s="3"/>
      <c r="C46" s="3"/>
      <c r="D46" s="3"/>
      <c r="E46" s="3"/>
      <c r="F46" s="3"/>
      <c r="G46" s="4"/>
    </row>
    <row r="47" spans="1:7" ht="15" customHeight="1" x14ac:dyDescent="0.35">
      <c r="A47" s="3"/>
      <c r="B47" s="3"/>
      <c r="C47" s="3"/>
      <c r="D47" s="3"/>
      <c r="E47" s="3"/>
      <c r="F47" s="3"/>
      <c r="G47" s="4"/>
    </row>
    <row r="48" spans="1:7" ht="15" customHeight="1" x14ac:dyDescent="0.35">
      <c r="A48" s="3"/>
      <c r="B48" s="3"/>
      <c r="C48" s="3"/>
      <c r="D48" s="3"/>
      <c r="E48" s="3"/>
      <c r="F48" s="3"/>
      <c r="G48" s="4"/>
    </row>
    <row r="49" spans="1:7" ht="15" customHeight="1" x14ac:dyDescent="0.35">
      <c r="A49" s="3"/>
      <c r="B49" s="3"/>
      <c r="C49" s="3"/>
      <c r="D49" s="3"/>
      <c r="E49" s="3"/>
      <c r="F49" s="3"/>
      <c r="G49" s="4"/>
    </row>
    <row r="50" spans="1:7" ht="15" customHeight="1" x14ac:dyDescent="0.35">
      <c r="A50" s="3"/>
      <c r="B50" s="3"/>
      <c r="C50" s="3"/>
      <c r="D50" s="3"/>
      <c r="E50" s="3"/>
      <c r="F50" s="3"/>
      <c r="G50" s="4"/>
    </row>
    <row r="51" spans="1:7" ht="15" customHeight="1" x14ac:dyDescent="0.35">
      <c r="A51" s="3"/>
      <c r="B51" s="3"/>
      <c r="C51" s="3"/>
      <c r="D51" s="3"/>
      <c r="E51" s="3"/>
      <c r="F51" s="3"/>
      <c r="G51" s="4"/>
    </row>
    <row r="52" spans="1:7" ht="15" customHeight="1" x14ac:dyDescent="0.35">
      <c r="A52" s="3"/>
      <c r="B52" s="3"/>
      <c r="C52" s="3"/>
      <c r="D52" s="3"/>
      <c r="E52" s="3"/>
      <c r="F52" s="3"/>
      <c r="G52" s="4"/>
    </row>
    <row r="53" spans="1:7" ht="15" customHeight="1" x14ac:dyDescent="0.35">
      <c r="A53" s="3"/>
      <c r="B53" s="3"/>
      <c r="C53" s="3"/>
      <c r="D53" s="3"/>
      <c r="E53" s="3"/>
      <c r="F53" s="3"/>
      <c r="G53" s="4"/>
    </row>
    <row r="54" spans="1:7" ht="15" customHeight="1" x14ac:dyDescent="0.35">
      <c r="A54" s="3"/>
      <c r="B54" s="3"/>
      <c r="C54" s="3"/>
      <c r="D54" s="3"/>
      <c r="E54" s="3"/>
      <c r="F54" s="3"/>
      <c r="G54" s="4"/>
    </row>
    <row r="55" spans="1:7" ht="15" customHeight="1" x14ac:dyDescent="0.35">
      <c r="A55" s="3"/>
      <c r="B55" s="3"/>
      <c r="C55" s="3"/>
      <c r="D55" s="3"/>
      <c r="E55" s="3"/>
      <c r="F55" s="3"/>
      <c r="G55" s="4"/>
    </row>
    <row r="56" spans="1:7" ht="15" customHeight="1" x14ac:dyDescent="0.35">
      <c r="A56" s="3"/>
      <c r="B56" s="3"/>
      <c r="C56" s="3"/>
      <c r="D56" s="3"/>
      <c r="E56" s="3"/>
      <c r="F56" s="3"/>
      <c r="G56" s="4"/>
    </row>
    <row r="57" spans="1:7" ht="15" customHeight="1" x14ac:dyDescent="0.35">
      <c r="A57" s="3"/>
      <c r="B57" s="3"/>
      <c r="C57" s="3"/>
      <c r="D57" s="3"/>
      <c r="E57" s="3"/>
      <c r="F57" s="3"/>
      <c r="G57" s="4"/>
    </row>
    <row r="58" spans="1:7" ht="15" customHeight="1" x14ac:dyDescent="0.35">
      <c r="A58" s="3"/>
      <c r="B58" s="3"/>
      <c r="C58" s="3"/>
      <c r="D58" s="3"/>
      <c r="E58" s="3"/>
      <c r="F58" s="3"/>
      <c r="G58" s="4"/>
    </row>
    <row r="60" spans="1:7" x14ac:dyDescent="0.35">
      <c r="A60" s="12"/>
      <c r="B60" s="10"/>
      <c r="C60" s="10"/>
      <c r="D60" s="10"/>
      <c r="E60" s="10"/>
      <c r="F60" s="10"/>
      <c r="G60" s="11"/>
    </row>
  </sheetData>
  <mergeCells count="1">
    <mergeCell ref="A60:G6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Lists!$I$2:$I$7</xm:f>
          </x14:formula1>
          <x14:formula2>
            <xm:f>0</xm:f>
          </x14:formula2>
          <xm:sqref>C3:C58</xm:sqref>
        </x14:dataValidation>
        <x14:dataValidation type="list" allowBlank="1" xr:uid="{00000000-0002-0000-0300-000001000000}">
          <x14:formula1>
            <xm:f>Lists!$J$2:$J$5</xm:f>
          </x14:formula1>
          <x14:formula2>
            <xm:f>0</xm:f>
          </x14:formula2>
          <xm:sqref>F3:F58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0"/>
  <sheetViews>
    <sheetView zoomScaleNormal="100" workbookViewId="0">
      <pane ySplit="2" topLeftCell="A53" activePane="bottomLeft" state="frozen"/>
      <selection pane="bottomLeft" activeCell="A60" sqref="A60:F60"/>
    </sheetView>
  </sheetViews>
  <sheetFormatPr defaultColWidth="8.6328125" defaultRowHeight="14.5" x14ac:dyDescent="0.35"/>
  <cols>
    <col min="1" max="1" width="38" customWidth="1"/>
    <col min="2" max="2" width="24" customWidth="1"/>
    <col min="3" max="3" width="9" customWidth="1"/>
    <col min="4" max="4" width="20" customWidth="1"/>
    <col min="5" max="5" width="13" customWidth="1"/>
    <col min="6" max="6" width="45" customWidth="1"/>
  </cols>
  <sheetData>
    <row r="1" spans="1:6" ht="17.399999999999999" customHeight="1" x14ac:dyDescent="0.35">
      <c r="A1" s="1" t="s">
        <v>279</v>
      </c>
    </row>
    <row r="2" spans="1:6" ht="31.5" customHeight="1" x14ac:dyDescent="0.35">
      <c r="A2" s="2" t="s">
        <v>162</v>
      </c>
      <c r="B2" s="2" t="s">
        <v>217</v>
      </c>
      <c r="C2" s="2" t="s">
        <v>280</v>
      </c>
      <c r="D2" s="2" t="s">
        <v>95</v>
      </c>
      <c r="E2" s="2" t="s">
        <v>281</v>
      </c>
      <c r="F2" s="2" t="s">
        <v>282</v>
      </c>
    </row>
    <row r="3" spans="1:6" ht="15" customHeight="1" x14ac:dyDescent="0.35">
      <c r="A3" s="3" t="s">
        <v>283</v>
      </c>
      <c r="B3" s="3" t="s">
        <v>284</v>
      </c>
      <c r="C3" s="3" t="s">
        <v>285</v>
      </c>
      <c r="D3" s="3" t="s">
        <v>286</v>
      </c>
      <c r="E3" s="3" t="s">
        <v>100</v>
      </c>
      <c r="F3" s="3" t="s">
        <v>287</v>
      </c>
    </row>
    <row r="4" spans="1:6" ht="15" customHeight="1" x14ac:dyDescent="0.35">
      <c r="A4" s="3" t="s">
        <v>288</v>
      </c>
      <c r="B4" s="3" t="s">
        <v>284</v>
      </c>
      <c r="C4" s="3" t="s">
        <v>285</v>
      </c>
      <c r="D4" s="3" t="s">
        <v>286</v>
      </c>
      <c r="E4" s="3" t="s">
        <v>100</v>
      </c>
      <c r="F4" s="3" t="s">
        <v>289</v>
      </c>
    </row>
    <row r="5" spans="1:6" ht="15" customHeight="1" x14ac:dyDescent="0.35">
      <c r="A5" s="3" t="s">
        <v>290</v>
      </c>
      <c r="B5" s="3" t="s">
        <v>291</v>
      </c>
      <c r="C5" s="3" t="s">
        <v>285</v>
      </c>
      <c r="D5" s="3" t="s">
        <v>108</v>
      </c>
      <c r="E5" s="3" t="s">
        <v>109</v>
      </c>
      <c r="F5" s="3" t="s">
        <v>292</v>
      </c>
    </row>
    <row r="6" spans="1:6" ht="15" customHeight="1" x14ac:dyDescent="0.35">
      <c r="A6" s="3" t="s">
        <v>293</v>
      </c>
      <c r="B6" s="3" t="s">
        <v>294</v>
      </c>
      <c r="C6" s="3" t="s">
        <v>285</v>
      </c>
      <c r="D6" s="3" t="s">
        <v>113</v>
      </c>
      <c r="E6" s="3" t="s">
        <v>100</v>
      </c>
      <c r="F6" s="3" t="s">
        <v>295</v>
      </c>
    </row>
    <row r="7" spans="1:6" ht="15" customHeight="1" x14ac:dyDescent="0.35">
      <c r="A7" s="3" t="s">
        <v>296</v>
      </c>
      <c r="B7" s="3" t="s">
        <v>284</v>
      </c>
      <c r="C7" s="3" t="s">
        <v>297</v>
      </c>
      <c r="D7" s="3" t="s">
        <v>286</v>
      </c>
      <c r="E7" s="3" t="s">
        <v>100</v>
      </c>
      <c r="F7" s="3" t="s">
        <v>298</v>
      </c>
    </row>
    <row r="8" spans="1:6" ht="15" customHeight="1" x14ac:dyDescent="0.35">
      <c r="A8" s="3" t="s">
        <v>299</v>
      </c>
      <c r="B8" s="3" t="s">
        <v>300</v>
      </c>
      <c r="C8" s="3" t="s">
        <v>297</v>
      </c>
      <c r="D8" s="3" t="s">
        <v>122</v>
      </c>
      <c r="E8" s="3" t="s">
        <v>100</v>
      </c>
      <c r="F8" s="3" t="s">
        <v>301</v>
      </c>
    </row>
    <row r="9" spans="1:6" ht="15" customHeight="1" x14ac:dyDescent="0.35">
      <c r="A9" s="3" t="s">
        <v>302</v>
      </c>
      <c r="B9" s="3" t="s">
        <v>294</v>
      </c>
      <c r="C9" s="3" t="s">
        <v>297</v>
      </c>
      <c r="D9" s="3" t="s">
        <v>126</v>
      </c>
      <c r="E9" s="3" t="s">
        <v>100</v>
      </c>
      <c r="F9" s="3" t="s">
        <v>303</v>
      </c>
    </row>
    <row r="10" spans="1:6" ht="15" customHeight="1" x14ac:dyDescent="0.35">
      <c r="A10" s="3" t="s">
        <v>304</v>
      </c>
      <c r="B10" s="3" t="s">
        <v>291</v>
      </c>
      <c r="C10" s="3" t="s">
        <v>297</v>
      </c>
      <c r="D10" s="3" t="s">
        <v>130</v>
      </c>
      <c r="E10" s="3" t="s">
        <v>100</v>
      </c>
      <c r="F10" s="3" t="s">
        <v>305</v>
      </c>
    </row>
    <row r="11" spans="1:6" ht="15" customHeight="1" x14ac:dyDescent="0.35">
      <c r="A11" s="3" t="s">
        <v>306</v>
      </c>
      <c r="B11" s="3" t="s">
        <v>307</v>
      </c>
      <c r="C11" s="3" t="s">
        <v>297</v>
      </c>
      <c r="D11" s="3" t="s">
        <v>113</v>
      </c>
      <c r="E11" s="3" t="s">
        <v>109</v>
      </c>
      <c r="F11" s="3" t="s">
        <v>308</v>
      </c>
    </row>
    <row r="12" spans="1:6" ht="15" customHeight="1" x14ac:dyDescent="0.35">
      <c r="A12" s="3" t="s">
        <v>309</v>
      </c>
      <c r="B12" s="3" t="s">
        <v>294</v>
      </c>
      <c r="C12" s="3" t="s">
        <v>297</v>
      </c>
      <c r="D12" s="3" t="s">
        <v>137</v>
      </c>
      <c r="E12" s="3" t="s">
        <v>100</v>
      </c>
      <c r="F12" s="3" t="s">
        <v>310</v>
      </c>
    </row>
    <row r="13" spans="1:6" ht="15" customHeight="1" x14ac:dyDescent="0.35">
      <c r="A13" s="3" t="s">
        <v>311</v>
      </c>
      <c r="B13" s="3" t="s">
        <v>300</v>
      </c>
      <c r="C13" s="3" t="s">
        <v>297</v>
      </c>
      <c r="D13" s="3" t="s">
        <v>126</v>
      </c>
      <c r="E13" s="3" t="s">
        <v>100</v>
      </c>
      <c r="F13" s="3" t="s">
        <v>312</v>
      </c>
    </row>
    <row r="14" spans="1:6" ht="15" customHeight="1" x14ac:dyDescent="0.35">
      <c r="A14" s="3" t="s">
        <v>313</v>
      </c>
      <c r="B14" s="3" t="s">
        <v>284</v>
      </c>
      <c r="C14" s="3" t="s">
        <v>285</v>
      </c>
      <c r="D14" s="3" t="s">
        <v>144</v>
      </c>
      <c r="E14" s="3" t="s">
        <v>109</v>
      </c>
      <c r="F14" s="3" t="s">
        <v>314</v>
      </c>
    </row>
    <row r="15" spans="1:6" ht="15" customHeight="1" x14ac:dyDescent="0.35">
      <c r="A15" s="3" t="s">
        <v>315</v>
      </c>
      <c r="B15" s="3" t="s">
        <v>300</v>
      </c>
      <c r="C15" s="3" t="s">
        <v>297</v>
      </c>
      <c r="D15" s="3" t="s">
        <v>104</v>
      </c>
      <c r="E15" s="3" t="s">
        <v>109</v>
      </c>
      <c r="F15" s="3" t="s">
        <v>316</v>
      </c>
    </row>
    <row r="16" spans="1:6" ht="15" customHeight="1" x14ac:dyDescent="0.35">
      <c r="A16" s="3" t="s">
        <v>317</v>
      </c>
      <c r="B16" s="3" t="s">
        <v>291</v>
      </c>
      <c r="C16" s="3" t="s">
        <v>297</v>
      </c>
      <c r="D16" s="3" t="s">
        <v>152</v>
      </c>
      <c r="E16" s="3" t="s">
        <v>100</v>
      </c>
      <c r="F16" s="3" t="s">
        <v>318</v>
      </c>
    </row>
    <row r="17" spans="1:6" ht="15" customHeight="1" x14ac:dyDescent="0.35">
      <c r="A17" s="3" t="s">
        <v>319</v>
      </c>
      <c r="B17" s="3" t="s">
        <v>291</v>
      </c>
      <c r="C17" s="3" t="s">
        <v>285</v>
      </c>
      <c r="D17" s="3" t="s">
        <v>108</v>
      </c>
      <c r="E17" s="3" t="s">
        <v>109</v>
      </c>
      <c r="F17" s="3" t="s">
        <v>320</v>
      </c>
    </row>
    <row r="18" spans="1:6" ht="15" customHeight="1" x14ac:dyDescent="0.35">
      <c r="A18" s="3" t="s">
        <v>321</v>
      </c>
      <c r="B18" s="3" t="s">
        <v>322</v>
      </c>
      <c r="C18" s="3" t="s">
        <v>297</v>
      </c>
      <c r="D18" s="3" t="s">
        <v>159</v>
      </c>
      <c r="E18" s="3" t="s">
        <v>100</v>
      </c>
      <c r="F18" s="3" t="s">
        <v>323</v>
      </c>
    </row>
    <row r="19" spans="1:6" ht="15" customHeight="1" x14ac:dyDescent="0.35">
      <c r="A19" s="3"/>
      <c r="B19" s="3"/>
      <c r="C19" s="3"/>
      <c r="D19" s="3"/>
      <c r="E19" s="3"/>
      <c r="F19" s="3"/>
    </row>
    <row r="20" spans="1:6" ht="15" customHeight="1" x14ac:dyDescent="0.35">
      <c r="A20" s="3"/>
      <c r="B20" s="3"/>
      <c r="C20" s="3"/>
      <c r="D20" s="3"/>
      <c r="E20" s="3"/>
      <c r="F20" s="3"/>
    </row>
    <row r="21" spans="1:6" ht="15" customHeight="1" x14ac:dyDescent="0.35">
      <c r="A21" s="3"/>
      <c r="B21" s="3"/>
      <c r="C21" s="3"/>
      <c r="D21" s="3"/>
      <c r="E21" s="3"/>
      <c r="F21" s="3"/>
    </row>
    <row r="22" spans="1:6" ht="15" customHeight="1" x14ac:dyDescent="0.35">
      <c r="A22" s="3"/>
      <c r="B22" s="3"/>
      <c r="C22" s="3"/>
      <c r="D22" s="3"/>
      <c r="E22" s="3"/>
      <c r="F22" s="3"/>
    </row>
    <row r="23" spans="1:6" ht="15" customHeight="1" x14ac:dyDescent="0.35">
      <c r="A23" s="3"/>
      <c r="B23" s="3"/>
      <c r="C23" s="3"/>
      <c r="D23" s="3"/>
      <c r="E23" s="3"/>
      <c r="F23" s="3"/>
    </row>
    <row r="24" spans="1:6" ht="15" customHeight="1" x14ac:dyDescent="0.35">
      <c r="A24" s="3"/>
      <c r="B24" s="3"/>
      <c r="C24" s="3"/>
      <c r="D24" s="3"/>
      <c r="E24" s="3"/>
      <c r="F24" s="3"/>
    </row>
    <row r="25" spans="1:6" ht="15" customHeight="1" x14ac:dyDescent="0.35">
      <c r="A25" s="3"/>
      <c r="B25" s="3"/>
      <c r="C25" s="3"/>
      <c r="D25" s="3"/>
      <c r="E25" s="3"/>
      <c r="F25" s="3"/>
    </row>
    <row r="26" spans="1:6" ht="15" customHeight="1" x14ac:dyDescent="0.35">
      <c r="A26" s="3"/>
      <c r="B26" s="3"/>
      <c r="C26" s="3"/>
      <c r="D26" s="3"/>
      <c r="E26" s="3"/>
      <c r="F26" s="3"/>
    </row>
    <row r="27" spans="1:6" ht="15" customHeight="1" x14ac:dyDescent="0.35">
      <c r="A27" s="3"/>
      <c r="B27" s="3"/>
      <c r="C27" s="3"/>
      <c r="D27" s="3"/>
      <c r="E27" s="3"/>
      <c r="F27" s="3"/>
    </row>
    <row r="28" spans="1:6" ht="15" customHeight="1" x14ac:dyDescent="0.35">
      <c r="A28" s="3"/>
      <c r="B28" s="3"/>
      <c r="C28" s="3"/>
      <c r="D28" s="3"/>
      <c r="E28" s="3"/>
      <c r="F28" s="3"/>
    </row>
    <row r="29" spans="1:6" ht="15" customHeight="1" x14ac:dyDescent="0.35">
      <c r="A29" s="3"/>
      <c r="B29" s="3"/>
      <c r="C29" s="3"/>
      <c r="D29" s="3"/>
      <c r="E29" s="3"/>
      <c r="F29" s="3"/>
    </row>
    <row r="30" spans="1:6" ht="15" customHeight="1" x14ac:dyDescent="0.35">
      <c r="A30" s="3"/>
      <c r="B30" s="3"/>
      <c r="C30" s="3"/>
      <c r="D30" s="3"/>
      <c r="E30" s="3"/>
      <c r="F30" s="3"/>
    </row>
    <row r="31" spans="1:6" ht="15" customHeight="1" x14ac:dyDescent="0.35">
      <c r="A31" s="3"/>
      <c r="B31" s="3"/>
      <c r="C31" s="3"/>
      <c r="D31" s="3"/>
      <c r="E31" s="3"/>
      <c r="F31" s="3"/>
    </row>
    <row r="32" spans="1:6" ht="15" customHeight="1" x14ac:dyDescent="0.35">
      <c r="A32" s="3"/>
      <c r="B32" s="3"/>
      <c r="C32" s="3"/>
      <c r="D32" s="3"/>
      <c r="E32" s="3"/>
      <c r="F32" s="3"/>
    </row>
    <row r="33" spans="1:6" ht="15" customHeight="1" x14ac:dyDescent="0.35">
      <c r="A33" s="3"/>
      <c r="B33" s="3"/>
      <c r="C33" s="3"/>
      <c r="D33" s="3"/>
      <c r="E33" s="3"/>
      <c r="F33" s="3"/>
    </row>
    <row r="34" spans="1:6" ht="15" customHeight="1" x14ac:dyDescent="0.35">
      <c r="A34" s="3"/>
      <c r="B34" s="3"/>
      <c r="C34" s="3"/>
      <c r="D34" s="3"/>
      <c r="E34" s="3"/>
      <c r="F34" s="3"/>
    </row>
    <row r="35" spans="1:6" ht="15" customHeight="1" x14ac:dyDescent="0.35">
      <c r="A35" s="3"/>
      <c r="B35" s="3"/>
      <c r="C35" s="3"/>
      <c r="D35" s="3"/>
      <c r="E35" s="3"/>
      <c r="F35" s="3"/>
    </row>
    <row r="36" spans="1:6" ht="15" customHeight="1" x14ac:dyDescent="0.35">
      <c r="A36" s="3"/>
      <c r="B36" s="3"/>
      <c r="C36" s="3"/>
      <c r="D36" s="3"/>
      <c r="E36" s="3"/>
      <c r="F36" s="3"/>
    </row>
    <row r="37" spans="1:6" ht="15" customHeight="1" x14ac:dyDescent="0.35">
      <c r="A37" s="3"/>
      <c r="B37" s="3"/>
      <c r="C37" s="3"/>
      <c r="D37" s="3"/>
      <c r="E37" s="3"/>
      <c r="F37" s="3"/>
    </row>
    <row r="38" spans="1:6" ht="15" customHeight="1" x14ac:dyDescent="0.35">
      <c r="A38" s="3"/>
      <c r="B38" s="3"/>
      <c r="C38" s="3"/>
      <c r="D38" s="3"/>
      <c r="E38" s="3"/>
      <c r="F38" s="3"/>
    </row>
    <row r="39" spans="1:6" ht="15" customHeight="1" x14ac:dyDescent="0.35">
      <c r="A39" s="3"/>
      <c r="B39" s="3"/>
      <c r="C39" s="3"/>
      <c r="D39" s="3"/>
      <c r="E39" s="3"/>
      <c r="F39" s="3"/>
    </row>
    <row r="40" spans="1:6" ht="15" customHeight="1" x14ac:dyDescent="0.35">
      <c r="A40" s="3"/>
      <c r="B40" s="3"/>
      <c r="C40" s="3"/>
      <c r="D40" s="3"/>
      <c r="E40" s="3"/>
      <c r="F40" s="3"/>
    </row>
    <row r="41" spans="1:6" ht="15" customHeight="1" x14ac:dyDescent="0.35">
      <c r="A41" s="3"/>
      <c r="B41" s="3"/>
      <c r="C41" s="3"/>
      <c r="D41" s="3"/>
      <c r="E41" s="3"/>
      <c r="F41" s="3"/>
    </row>
    <row r="42" spans="1:6" ht="15" customHeight="1" x14ac:dyDescent="0.35">
      <c r="A42" s="3"/>
      <c r="B42" s="3"/>
      <c r="C42" s="3"/>
      <c r="D42" s="3"/>
      <c r="E42" s="3"/>
      <c r="F42" s="3"/>
    </row>
    <row r="43" spans="1:6" ht="15" customHeight="1" x14ac:dyDescent="0.35">
      <c r="A43" s="3"/>
      <c r="B43" s="3"/>
      <c r="C43" s="3"/>
      <c r="D43" s="3"/>
      <c r="E43" s="3"/>
      <c r="F43" s="3"/>
    </row>
    <row r="44" spans="1:6" ht="15" customHeight="1" x14ac:dyDescent="0.35">
      <c r="A44" s="3"/>
      <c r="B44" s="3"/>
      <c r="C44" s="3"/>
      <c r="D44" s="3"/>
      <c r="E44" s="3"/>
      <c r="F44" s="3"/>
    </row>
    <row r="45" spans="1:6" ht="15" customHeight="1" x14ac:dyDescent="0.35">
      <c r="A45" s="3"/>
      <c r="B45" s="3"/>
      <c r="C45" s="3"/>
      <c r="D45" s="3"/>
      <c r="E45" s="3"/>
      <c r="F45" s="3"/>
    </row>
    <row r="46" spans="1:6" ht="15" customHeight="1" x14ac:dyDescent="0.35">
      <c r="A46" s="3"/>
      <c r="B46" s="3"/>
      <c r="C46" s="3"/>
      <c r="D46" s="3"/>
      <c r="E46" s="3"/>
      <c r="F46" s="3"/>
    </row>
    <row r="47" spans="1:6" ht="15" customHeight="1" x14ac:dyDescent="0.35">
      <c r="A47" s="3"/>
      <c r="B47" s="3"/>
      <c r="C47" s="3"/>
      <c r="D47" s="3"/>
      <c r="E47" s="3"/>
      <c r="F47" s="3"/>
    </row>
    <row r="48" spans="1:6" ht="15" customHeight="1" x14ac:dyDescent="0.35">
      <c r="A48" s="3"/>
      <c r="B48" s="3"/>
      <c r="C48" s="3"/>
      <c r="D48" s="3"/>
      <c r="E48" s="3"/>
      <c r="F48" s="3"/>
    </row>
    <row r="49" spans="1:6" ht="15" customHeight="1" x14ac:dyDescent="0.35">
      <c r="A49" s="3"/>
      <c r="B49" s="3"/>
      <c r="C49" s="3"/>
      <c r="D49" s="3"/>
      <c r="E49" s="3"/>
      <c r="F49" s="3"/>
    </row>
    <row r="50" spans="1:6" ht="15" customHeight="1" x14ac:dyDescent="0.35">
      <c r="A50" s="3"/>
      <c r="B50" s="3"/>
      <c r="C50" s="3"/>
      <c r="D50" s="3"/>
      <c r="E50" s="3"/>
      <c r="F50" s="3"/>
    </row>
    <row r="51" spans="1:6" ht="15" customHeight="1" x14ac:dyDescent="0.35">
      <c r="A51" s="3"/>
      <c r="B51" s="3"/>
      <c r="C51" s="3"/>
      <c r="D51" s="3"/>
      <c r="E51" s="3"/>
      <c r="F51" s="3"/>
    </row>
    <row r="52" spans="1:6" ht="15" customHeight="1" x14ac:dyDescent="0.35">
      <c r="A52" s="3"/>
      <c r="B52" s="3"/>
      <c r="C52" s="3"/>
      <c r="D52" s="3"/>
      <c r="E52" s="3"/>
      <c r="F52" s="3"/>
    </row>
    <row r="53" spans="1:6" ht="15" customHeight="1" x14ac:dyDescent="0.35">
      <c r="A53" s="3"/>
      <c r="B53" s="3"/>
      <c r="C53" s="3"/>
      <c r="D53" s="3"/>
      <c r="E53" s="3"/>
      <c r="F53" s="3"/>
    </row>
    <row r="54" spans="1:6" ht="15" customHeight="1" x14ac:dyDescent="0.35">
      <c r="A54" s="3"/>
      <c r="B54" s="3"/>
      <c r="C54" s="3"/>
      <c r="D54" s="3"/>
      <c r="E54" s="3"/>
      <c r="F54" s="3"/>
    </row>
    <row r="55" spans="1:6" ht="15" customHeight="1" x14ac:dyDescent="0.35">
      <c r="A55" s="3"/>
      <c r="B55" s="3"/>
      <c r="C55" s="3"/>
      <c r="D55" s="3"/>
      <c r="E55" s="3"/>
      <c r="F55" s="3"/>
    </row>
    <row r="56" spans="1:6" ht="15" customHeight="1" x14ac:dyDescent="0.35">
      <c r="A56" s="3"/>
      <c r="B56" s="3"/>
      <c r="C56" s="3"/>
      <c r="D56" s="3"/>
      <c r="E56" s="3"/>
      <c r="F56" s="3"/>
    </row>
    <row r="57" spans="1:6" ht="15" customHeight="1" x14ac:dyDescent="0.35">
      <c r="A57" s="3"/>
      <c r="B57" s="3"/>
      <c r="C57" s="3"/>
      <c r="D57" s="3"/>
      <c r="E57" s="3"/>
      <c r="F57" s="3"/>
    </row>
    <row r="58" spans="1:6" ht="15" customHeight="1" x14ac:dyDescent="0.35">
      <c r="A58" s="3"/>
      <c r="B58" s="3"/>
      <c r="C58" s="3"/>
      <c r="D58" s="3"/>
      <c r="E58" s="3"/>
      <c r="F58" s="3"/>
    </row>
    <row r="60" spans="1:6" x14ac:dyDescent="0.35">
      <c r="A60" s="12"/>
      <c r="B60" s="10"/>
      <c r="C60" s="10"/>
      <c r="D60" s="10"/>
      <c r="E60" s="10"/>
      <c r="F60" s="11"/>
    </row>
  </sheetData>
  <mergeCells count="1">
    <mergeCell ref="A60:F6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Lists!$K$2:$K$9</xm:f>
          </x14:formula1>
          <x14:formula2>
            <xm:f>0</xm:f>
          </x14:formula2>
          <xm:sqref>B3:B58</xm:sqref>
        </x14:dataValidation>
        <x14:dataValidation type="list" allowBlank="1" xr:uid="{00000000-0002-0000-0400-000001000000}">
          <x14:formula1>
            <xm:f>Lists!$L$2:$L$6</xm:f>
          </x14:formula1>
          <x14:formula2>
            <xm:f>0</xm:f>
          </x14:formula2>
          <xm:sqref>E3:E58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"/>
  <sheetViews>
    <sheetView zoomScaleNormal="100" workbookViewId="0">
      <pane ySplit="2" topLeftCell="A3" activePane="bottomLeft" state="frozen"/>
      <selection pane="bottomLeft" activeCell="A60" sqref="A60:H60"/>
    </sheetView>
  </sheetViews>
  <sheetFormatPr defaultColWidth="8.6328125" defaultRowHeight="14.5" x14ac:dyDescent="0.35"/>
  <cols>
    <col min="1" max="3" width="40" customWidth="1"/>
    <col min="4" max="4" width="45" customWidth="1"/>
    <col min="5" max="5" width="18" customWidth="1"/>
    <col min="6" max="6" width="13" customWidth="1"/>
    <col min="7" max="7" width="28" customWidth="1"/>
    <col min="8" max="8" width="20" customWidth="1"/>
  </cols>
  <sheetData>
    <row r="1" spans="1:8" ht="17.399999999999999" customHeight="1" x14ac:dyDescent="0.35">
      <c r="A1" s="1" t="s">
        <v>324</v>
      </c>
    </row>
    <row r="2" spans="1:8" ht="31.5" customHeight="1" x14ac:dyDescent="0.35">
      <c r="A2" s="2" t="s">
        <v>325</v>
      </c>
      <c r="B2" s="2" t="s">
        <v>326</v>
      </c>
      <c r="C2" s="2" t="s">
        <v>327</v>
      </c>
      <c r="D2" s="2" t="s">
        <v>328</v>
      </c>
      <c r="E2" s="2" t="s">
        <v>95</v>
      </c>
      <c r="F2" s="2" t="s">
        <v>329</v>
      </c>
      <c r="G2" s="2" t="s">
        <v>330</v>
      </c>
      <c r="H2" s="2" t="s">
        <v>6</v>
      </c>
    </row>
    <row r="3" spans="1:8" ht="28.4" customHeight="1" x14ac:dyDescent="0.35">
      <c r="A3" s="3" t="s">
        <v>331</v>
      </c>
      <c r="B3" s="3" t="s">
        <v>332</v>
      </c>
      <c r="C3" s="3" t="s">
        <v>333</v>
      </c>
      <c r="D3" s="3" t="s">
        <v>334</v>
      </c>
      <c r="E3" s="3" t="s">
        <v>152</v>
      </c>
      <c r="F3" s="4">
        <v>46325</v>
      </c>
      <c r="G3" s="3" t="s">
        <v>335</v>
      </c>
      <c r="H3" s="3" t="s">
        <v>16</v>
      </c>
    </row>
    <row r="4" spans="1:8" ht="15" customHeight="1" x14ac:dyDescent="0.35">
      <c r="A4" s="3" t="s">
        <v>336</v>
      </c>
      <c r="B4" s="3" t="s">
        <v>337</v>
      </c>
      <c r="C4" s="3" t="s">
        <v>338</v>
      </c>
      <c r="D4" s="3" t="s">
        <v>339</v>
      </c>
      <c r="E4" s="3" t="s">
        <v>130</v>
      </c>
      <c r="F4" s="4">
        <v>46326</v>
      </c>
      <c r="G4" s="3" t="s">
        <v>340</v>
      </c>
      <c r="H4" s="3" t="s">
        <v>16</v>
      </c>
    </row>
    <row r="5" spans="1:8" ht="15" customHeight="1" x14ac:dyDescent="0.35">
      <c r="A5" s="3" t="s">
        <v>341</v>
      </c>
      <c r="B5" s="3" t="s">
        <v>342</v>
      </c>
      <c r="C5" s="3" t="s">
        <v>343</v>
      </c>
      <c r="D5" s="3" t="s">
        <v>344</v>
      </c>
      <c r="E5" s="3" t="s">
        <v>108</v>
      </c>
      <c r="F5" s="4">
        <v>46324</v>
      </c>
      <c r="G5" s="3" t="s">
        <v>345</v>
      </c>
      <c r="H5" s="3" t="s">
        <v>24</v>
      </c>
    </row>
    <row r="6" spans="1:8" ht="15" customHeight="1" x14ac:dyDescent="0.35">
      <c r="A6" s="3" t="s">
        <v>346</v>
      </c>
      <c r="B6" s="3" t="s">
        <v>347</v>
      </c>
      <c r="C6" s="3" t="s">
        <v>348</v>
      </c>
      <c r="D6" s="3" t="s">
        <v>349</v>
      </c>
      <c r="E6" s="3" t="s">
        <v>113</v>
      </c>
      <c r="F6" s="4">
        <v>46327</v>
      </c>
      <c r="G6" s="3" t="s">
        <v>350</v>
      </c>
      <c r="H6" s="3" t="s">
        <v>16</v>
      </c>
    </row>
    <row r="7" spans="1:8" ht="15" customHeight="1" x14ac:dyDescent="0.35">
      <c r="A7" s="3" t="s">
        <v>351</v>
      </c>
      <c r="B7" s="3" t="s">
        <v>352</v>
      </c>
      <c r="C7" s="3" t="s">
        <v>353</v>
      </c>
      <c r="D7" s="3" t="s">
        <v>354</v>
      </c>
      <c r="E7" s="3" t="s">
        <v>108</v>
      </c>
      <c r="F7" s="4">
        <v>46328</v>
      </c>
      <c r="G7" s="3" t="s">
        <v>355</v>
      </c>
      <c r="H7" s="3" t="s">
        <v>16</v>
      </c>
    </row>
    <row r="8" spans="1:8" ht="15" customHeight="1" x14ac:dyDescent="0.35">
      <c r="A8" s="3" t="s">
        <v>356</v>
      </c>
      <c r="B8" s="3" t="s">
        <v>357</v>
      </c>
      <c r="C8" s="3" t="s">
        <v>358</v>
      </c>
      <c r="D8" s="3" t="s">
        <v>359</v>
      </c>
      <c r="E8" s="3" t="s">
        <v>126</v>
      </c>
      <c r="F8" s="4">
        <v>46328</v>
      </c>
      <c r="G8" s="3" t="s">
        <v>360</v>
      </c>
      <c r="H8" s="3" t="s">
        <v>24</v>
      </c>
    </row>
    <row r="9" spans="1:8" ht="15" customHeight="1" x14ac:dyDescent="0.35">
      <c r="A9" s="3" t="s">
        <v>361</v>
      </c>
      <c r="B9" s="3" t="s">
        <v>362</v>
      </c>
      <c r="C9" s="3" t="s">
        <v>363</v>
      </c>
      <c r="D9" s="3" t="s">
        <v>364</v>
      </c>
      <c r="E9" s="3" t="s">
        <v>130</v>
      </c>
      <c r="F9" s="4">
        <v>46329</v>
      </c>
      <c r="G9" s="3" t="s">
        <v>350</v>
      </c>
      <c r="H9" s="3" t="s">
        <v>16</v>
      </c>
    </row>
    <row r="10" spans="1:8" ht="15" customHeight="1" x14ac:dyDescent="0.35">
      <c r="A10" s="3" t="s">
        <v>365</v>
      </c>
      <c r="B10" s="3" t="s">
        <v>366</v>
      </c>
      <c r="C10" s="3" t="s">
        <v>367</v>
      </c>
      <c r="D10" s="3" t="s">
        <v>368</v>
      </c>
      <c r="E10" s="3" t="s">
        <v>113</v>
      </c>
      <c r="F10" s="4">
        <v>46329</v>
      </c>
      <c r="G10" s="3" t="s">
        <v>369</v>
      </c>
      <c r="H10" s="3" t="s">
        <v>24</v>
      </c>
    </row>
    <row r="11" spans="1:8" ht="15" customHeight="1" x14ac:dyDescent="0.35">
      <c r="A11" s="3" t="s">
        <v>370</v>
      </c>
      <c r="B11" s="3" t="s">
        <v>371</v>
      </c>
      <c r="C11" s="3" t="s">
        <v>372</v>
      </c>
      <c r="D11" s="3" t="s">
        <v>373</v>
      </c>
      <c r="E11" s="3" t="s">
        <v>126</v>
      </c>
      <c r="F11" s="4">
        <v>46330</v>
      </c>
      <c r="G11" s="3" t="s">
        <v>360</v>
      </c>
      <c r="H11" s="3" t="s">
        <v>24</v>
      </c>
    </row>
    <row r="12" spans="1:8" ht="15" customHeight="1" x14ac:dyDescent="0.35">
      <c r="A12" s="3" t="s">
        <v>374</v>
      </c>
      <c r="B12" s="3" t="s">
        <v>375</v>
      </c>
      <c r="C12" s="3" t="s">
        <v>376</v>
      </c>
      <c r="D12" s="3" t="s">
        <v>377</v>
      </c>
      <c r="E12" s="3" t="s">
        <v>144</v>
      </c>
      <c r="F12" s="4">
        <v>46330</v>
      </c>
      <c r="G12" s="3" t="s">
        <v>378</v>
      </c>
      <c r="H12" s="3" t="s">
        <v>16</v>
      </c>
    </row>
    <row r="13" spans="1:8" ht="15" customHeight="1" x14ac:dyDescent="0.35">
      <c r="A13" s="3" t="s">
        <v>379</v>
      </c>
      <c r="B13" s="3" t="s">
        <v>380</v>
      </c>
      <c r="C13" s="3" t="s">
        <v>381</v>
      </c>
      <c r="D13" s="3" t="s">
        <v>382</v>
      </c>
      <c r="E13" s="3" t="s">
        <v>130</v>
      </c>
      <c r="F13" s="4">
        <v>46331</v>
      </c>
      <c r="G13" s="3" t="s">
        <v>383</v>
      </c>
      <c r="H13" s="3" t="s">
        <v>24</v>
      </c>
    </row>
    <row r="14" spans="1:8" ht="15" customHeight="1" x14ac:dyDescent="0.35">
      <c r="A14" s="3" t="s">
        <v>384</v>
      </c>
      <c r="B14" s="3" t="s">
        <v>385</v>
      </c>
      <c r="C14" s="3" t="s">
        <v>386</v>
      </c>
      <c r="D14" s="3" t="s">
        <v>387</v>
      </c>
      <c r="E14" s="3" t="s">
        <v>152</v>
      </c>
      <c r="F14" s="4">
        <v>46331</v>
      </c>
      <c r="G14" s="3" t="s">
        <v>340</v>
      </c>
      <c r="H14" s="3" t="s">
        <v>24</v>
      </c>
    </row>
    <row r="15" spans="1:8" ht="15" customHeight="1" x14ac:dyDescent="0.35">
      <c r="A15" s="3" t="s">
        <v>388</v>
      </c>
      <c r="B15" s="3" t="s">
        <v>389</v>
      </c>
      <c r="C15" s="3" t="s">
        <v>390</v>
      </c>
      <c r="D15" s="3" t="s">
        <v>391</v>
      </c>
      <c r="E15" s="3" t="s">
        <v>159</v>
      </c>
      <c r="F15" s="4">
        <v>46332</v>
      </c>
      <c r="G15" s="3" t="s">
        <v>392</v>
      </c>
      <c r="H15" s="3" t="s">
        <v>16</v>
      </c>
    </row>
    <row r="16" spans="1:8" ht="15" customHeight="1" x14ac:dyDescent="0.35">
      <c r="A16" s="3"/>
      <c r="B16" s="3"/>
      <c r="C16" s="3"/>
      <c r="D16" s="3"/>
      <c r="E16" s="3"/>
      <c r="F16" s="4"/>
      <c r="G16" s="3"/>
      <c r="H16" s="3"/>
    </row>
    <row r="17" spans="1:8" ht="15" customHeight="1" x14ac:dyDescent="0.35">
      <c r="A17" s="3"/>
      <c r="B17" s="3"/>
      <c r="C17" s="3"/>
      <c r="D17" s="3"/>
      <c r="E17" s="3"/>
      <c r="F17" s="4"/>
      <c r="G17" s="3"/>
      <c r="H17" s="3"/>
    </row>
    <row r="18" spans="1:8" ht="15" customHeight="1" x14ac:dyDescent="0.35">
      <c r="A18" s="3"/>
      <c r="B18" s="3"/>
      <c r="C18" s="3"/>
      <c r="D18" s="3"/>
      <c r="E18" s="3"/>
      <c r="F18" s="4"/>
      <c r="G18" s="3"/>
      <c r="H18" s="3"/>
    </row>
    <row r="19" spans="1:8" ht="15" customHeight="1" x14ac:dyDescent="0.35">
      <c r="A19" s="3"/>
      <c r="B19" s="3"/>
      <c r="C19" s="3"/>
      <c r="D19" s="3"/>
      <c r="E19" s="3"/>
      <c r="F19" s="4"/>
      <c r="G19" s="3"/>
      <c r="H19" s="3"/>
    </row>
    <row r="20" spans="1:8" ht="15" customHeight="1" x14ac:dyDescent="0.35">
      <c r="A20" s="3"/>
      <c r="B20" s="3"/>
      <c r="C20" s="3"/>
      <c r="D20" s="3"/>
      <c r="E20" s="3"/>
      <c r="F20" s="4"/>
      <c r="G20" s="3"/>
      <c r="H20" s="3"/>
    </row>
    <row r="21" spans="1:8" ht="15" customHeight="1" x14ac:dyDescent="0.35">
      <c r="A21" s="3"/>
      <c r="B21" s="3"/>
      <c r="C21" s="3"/>
      <c r="D21" s="3"/>
      <c r="E21" s="3"/>
      <c r="F21" s="4"/>
      <c r="G21" s="3"/>
      <c r="H21" s="3"/>
    </row>
    <row r="22" spans="1:8" ht="15" customHeight="1" x14ac:dyDescent="0.35">
      <c r="A22" s="3"/>
      <c r="B22" s="3"/>
      <c r="C22" s="3"/>
      <c r="D22" s="3"/>
      <c r="E22" s="3"/>
      <c r="F22" s="4"/>
      <c r="G22" s="3"/>
      <c r="H22" s="3"/>
    </row>
    <row r="23" spans="1:8" ht="15" customHeight="1" x14ac:dyDescent="0.35">
      <c r="A23" s="3"/>
      <c r="B23" s="3"/>
      <c r="C23" s="3"/>
      <c r="D23" s="3"/>
      <c r="E23" s="3"/>
      <c r="F23" s="4"/>
      <c r="G23" s="3"/>
      <c r="H23" s="3"/>
    </row>
    <row r="24" spans="1:8" ht="15" customHeight="1" x14ac:dyDescent="0.35">
      <c r="A24" s="3"/>
      <c r="B24" s="3"/>
      <c r="C24" s="3"/>
      <c r="D24" s="3"/>
      <c r="E24" s="3"/>
      <c r="F24" s="4"/>
      <c r="G24" s="3"/>
      <c r="H24" s="3"/>
    </row>
    <row r="25" spans="1:8" ht="15" customHeight="1" x14ac:dyDescent="0.35">
      <c r="A25" s="3"/>
      <c r="B25" s="3"/>
      <c r="C25" s="3"/>
      <c r="D25" s="3"/>
      <c r="E25" s="3"/>
      <c r="F25" s="4"/>
      <c r="G25" s="3"/>
      <c r="H25" s="3"/>
    </row>
    <row r="26" spans="1:8" ht="15" customHeight="1" x14ac:dyDescent="0.35">
      <c r="A26" s="3"/>
      <c r="B26" s="3"/>
      <c r="C26" s="3"/>
      <c r="D26" s="3"/>
      <c r="E26" s="3"/>
      <c r="F26" s="4"/>
      <c r="G26" s="3"/>
      <c r="H26" s="3"/>
    </row>
    <row r="27" spans="1:8" ht="15" customHeight="1" x14ac:dyDescent="0.35">
      <c r="A27" s="3"/>
      <c r="B27" s="3"/>
      <c r="C27" s="3"/>
      <c r="D27" s="3"/>
      <c r="E27" s="3"/>
      <c r="F27" s="4"/>
      <c r="G27" s="3"/>
      <c r="H27" s="3"/>
    </row>
    <row r="28" spans="1:8" ht="15" customHeight="1" x14ac:dyDescent="0.35">
      <c r="A28" s="3"/>
      <c r="B28" s="3"/>
      <c r="C28" s="3"/>
      <c r="D28" s="3"/>
      <c r="E28" s="3"/>
      <c r="F28" s="4"/>
      <c r="G28" s="3"/>
      <c r="H28" s="3"/>
    </row>
    <row r="29" spans="1:8" ht="15" customHeight="1" x14ac:dyDescent="0.35">
      <c r="A29" s="3"/>
      <c r="B29" s="3"/>
      <c r="C29" s="3"/>
      <c r="D29" s="3"/>
      <c r="E29" s="3"/>
      <c r="F29" s="4"/>
      <c r="G29" s="3"/>
      <c r="H29" s="3"/>
    </row>
    <row r="30" spans="1:8" ht="15" customHeight="1" x14ac:dyDescent="0.35">
      <c r="A30" s="3"/>
      <c r="B30" s="3"/>
      <c r="C30" s="3"/>
      <c r="D30" s="3"/>
      <c r="E30" s="3"/>
      <c r="F30" s="4"/>
      <c r="G30" s="3"/>
      <c r="H30" s="3"/>
    </row>
    <row r="31" spans="1:8" ht="15" customHeight="1" x14ac:dyDescent="0.35">
      <c r="A31" s="3"/>
      <c r="B31" s="3"/>
      <c r="C31" s="3"/>
      <c r="D31" s="3"/>
      <c r="E31" s="3"/>
      <c r="F31" s="4"/>
      <c r="G31" s="3"/>
      <c r="H31" s="3"/>
    </row>
    <row r="32" spans="1:8" ht="15" customHeight="1" x14ac:dyDescent="0.35">
      <c r="A32" s="3"/>
      <c r="B32" s="3"/>
      <c r="C32" s="3"/>
      <c r="D32" s="3"/>
      <c r="E32" s="3"/>
      <c r="F32" s="4"/>
      <c r="G32" s="3"/>
      <c r="H32" s="3"/>
    </row>
    <row r="33" spans="1:8" ht="15" customHeight="1" x14ac:dyDescent="0.35">
      <c r="A33" s="3"/>
      <c r="B33" s="3"/>
      <c r="C33" s="3"/>
      <c r="D33" s="3"/>
      <c r="E33" s="3"/>
      <c r="F33" s="4"/>
      <c r="G33" s="3"/>
      <c r="H33" s="3"/>
    </row>
    <row r="34" spans="1:8" ht="15" customHeight="1" x14ac:dyDescent="0.35">
      <c r="A34" s="3"/>
      <c r="B34" s="3"/>
      <c r="C34" s="3"/>
      <c r="D34" s="3"/>
      <c r="E34" s="3"/>
      <c r="F34" s="4"/>
      <c r="G34" s="3"/>
      <c r="H34" s="3"/>
    </row>
    <row r="35" spans="1:8" ht="15" customHeight="1" x14ac:dyDescent="0.35">
      <c r="A35" s="3"/>
      <c r="B35" s="3"/>
      <c r="C35" s="3"/>
      <c r="D35" s="3"/>
      <c r="E35" s="3"/>
      <c r="F35" s="4"/>
      <c r="G35" s="3"/>
      <c r="H35" s="3"/>
    </row>
    <row r="36" spans="1:8" ht="15" customHeight="1" x14ac:dyDescent="0.35">
      <c r="A36" s="3"/>
      <c r="B36" s="3"/>
      <c r="C36" s="3"/>
      <c r="D36" s="3"/>
      <c r="E36" s="3"/>
      <c r="F36" s="4"/>
      <c r="G36" s="3"/>
      <c r="H36" s="3"/>
    </row>
    <row r="37" spans="1:8" ht="15" customHeight="1" x14ac:dyDescent="0.35">
      <c r="A37" s="3"/>
      <c r="B37" s="3"/>
      <c r="C37" s="3"/>
      <c r="D37" s="3"/>
      <c r="E37" s="3"/>
      <c r="F37" s="4"/>
      <c r="G37" s="3"/>
      <c r="H37" s="3"/>
    </row>
    <row r="38" spans="1:8" ht="15" customHeight="1" x14ac:dyDescent="0.35">
      <c r="A38" s="3"/>
      <c r="B38" s="3"/>
      <c r="C38" s="3"/>
      <c r="D38" s="3"/>
      <c r="E38" s="3"/>
      <c r="F38" s="4"/>
      <c r="G38" s="3"/>
      <c r="H38" s="3"/>
    </row>
    <row r="39" spans="1:8" ht="15" customHeight="1" x14ac:dyDescent="0.35">
      <c r="A39" s="3"/>
      <c r="B39" s="3"/>
      <c r="C39" s="3"/>
      <c r="D39" s="3"/>
      <c r="E39" s="3"/>
      <c r="F39" s="4"/>
      <c r="G39" s="3"/>
      <c r="H39" s="3"/>
    </row>
    <row r="40" spans="1:8" ht="15" customHeight="1" x14ac:dyDescent="0.35">
      <c r="A40" s="3"/>
      <c r="B40" s="3"/>
      <c r="C40" s="3"/>
      <c r="D40" s="3"/>
      <c r="E40" s="3"/>
      <c r="F40" s="4"/>
      <c r="G40" s="3"/>
      <c r="H40" s="3"/>
    </row>
    <row r="41" spans="1:8" ht="15" customHeight="1" x14ac:dyDescent="0.35">
      <c r="A41" s="3"/>
      <c r="B41" s="3"/>
      <c r="C41" s="3"/>
      <c r="D41" s="3"/>
      <c r="E41" s="3"/>
      <c r="F41" s="4"/>
      <c r="G41" s="3"/>
      <c r="H41" s="3"/>
    </row>
    <row r="42" spans="1:8" ht="15" customHeight="1" x14ac:dyDescent="0.35">
      <c r="A42" s="3"/>
      <c r="B42" s="3"/>
      <c r="C42" s="3"/>
      <c r="D42" s="3"/>
      <c r="E42" s="3"/>
      <c r="F42" s="4"/>
      <c r="G42" s="3"/>
      <c r="H42" s="3"/>
    </row>
    <row r="43" spans="1:8" ht="15" customHeight="1" x14ac:dyDescent="0.35">
      <c r="A43" s="3"/>
      <c r="B43" s="3"/>
      <c r="C43" s="3"/>
      <c r="D43" s="3"/>
      <c r="E43" s="3"/>
      <c r="F43" s="4"/>
      <c r="G43" s="3"/>
      <c r="H43" s="3"/>
    </row>
    <row r="44" spans="1:8" ht="15" customHeight="1" x14ac:dyDescent="0.35">
      <c r="A44" s="3"/>
      <c r="B44" s="3"/>
      <c r="C44" s="3"/>
      <c r="D44" s="3"/>
      <c r="E44" s="3"/>
      <c r="F44" s="4"/>
      <c r="G44" s="3"/>
      <c r="H44" s="3"/>
    </row>
    <row r="45" spans="1:8" ht="15" customHeight="1" x14ac:dyDescent="0.35">
      <c r="A45" s="3"/>
      <c r="B45" s="3"/>
      <c r="C45" s="3"/>
      <c r="D45" s="3"/>
      <c r="E45" s="3"/>
      <c r="F45" s="4"/>
      <c r="G45" s="3"/>
      <c r="H45" s="3"/>
    </row>
    <row r="46" spans="1:8" ht="15" customHeight="1" x14ac:dyDescent="0.35">
      <c r="A46" s="3"/>
      <c r="B46" s="3"/>
      <c r="C46" s="3"/>
      <c r="D46" s="3"/>
      <c r="E46" s="3"/>
      <c r="F46" s="4"/>
      <c r="G46" s="3"/>
      <c r="H46" s="3"/>
    </row>
    <row r="47" spans="1:8" ht="15" customHeight="1" x14ac:dyDescent="0.35">
      <c r="A47" s="3"/>
      <c r="B47" s="3"/>
      <c r="C47" s="3"/>
      <c r="D47" s="3"/>
      <c r="E47" s="3"/>
      <c r="F47" s="4"/>
      <c r="G47" s="3"/>
      <c r="H47" s="3"/>
    </row>
    <row r="48" spans="1:8" ht="15" customHeight="1" x14ac:dyDescent="0.35">
      <c r="A48" s="3"/>
      <c r="B48" s="3"/>
      <c r="C48" s="3"/>
      <c r="D48" s="3"/>
      <c r="E48" s="3"/>
      <c r="F48" s="4"/>
      <c r="G48" s="3"/>
      <c r="H48" s="3"/>
    </row>
    <row r="49" spans="1:8" ht="15" customHeight="1" x14ac:dyDescent="0.35">
      <c r="A49" s="3"/>
      <c r="B49" s="3"/>
      <c r="C49" s="3"/>
      <c r="D49" s="3"/>
      <c r="E49" s="3"/>
      <c r="F49" s="4"/>
      <c r="G49" s="3"/>
      <c r="H49" s="3"/>
    </row>
    <row r="50" spans="1:8" ht="15" customHeight="1" x14ac:dyDescent="0.35">
      <c r="A50" s="3"/>
      <c r="B50" s="3"/>
      <c r="C50" s="3"/>
      <c r="D50" s="3"/>
      <c r="E50" s="3"/>
      <c r="F50" s="4"/>
      <c r="G50" s="3"/>
      <c r="H50" s="3"/>
    </row>
    <row r="51" spans="1:8" ht="15" customHeight="1" x14ac:dyDescent="0.35">
      <c r="A51" s="3"/>
      <c r="B51" s="3"/>
      <c r="C51" s="3"/>
      <c r="D51" s="3"/>
      <c r="E51" s="3"/>
      <c r="F51" s="4"/>
      <c r="G51" s="3"/>
      <c r="H51" s="3"/>
    </row>
    <row r="52" spans="1:8" ht="15" customHeight="1" x14ac:dyDescent="0.35">
      <c r="A52" s="3"/>
      <c r="B52" s="3"/>
      <c r="C52" s="3"/>
      <c r="D52" s="3"/>
      <c r="E52" s="3"/>
      <c r="F52" s="4"/>
      <c r="G52" s="3"/>
      <c r="H52" s="3"/>
    </row>
    <row r="53" spans="1:8" ht="15" customHeight="1" x14ac:dyDescent="0.35">
      <c r="A53" s="3"/>
      <c r="B53" s="3"/>
      <c r="C53" s="3"/>
      <c r="D53" s="3"/>
      <c r="E53" s="3"/>
      <c r="F53" s="4"/>
      <c r="G53" s="3"/>
      <c r="H53" s="3"/>
    </row>
    <row r="54" spans="1:8" ht="15" customHeight="1" x14ac:dyDescent="0.35">
      <c r="A54" s="3"/>
      <c r="B54" s="3"/>
      <c r="C54" s="3"/>
      <c r="D54" s="3"/>
      <c r="E54" s="3"/>
      <c r="F54" s="4"/>
      <c r="G54" s="3"/>
      <c r="H54" s="3"/>
    </row>
    <row r="55" spans="1:8" ht="15" customHeight="1" x14ac:dyDescent="0.35">
      <c r="A55" s="3"/>
      <c r="B55" s="3"/>
      <c r="C55" s="3"/>
      <c r="D55" s="3"/>
      <c r="E55" s="3"/>
      <c r="F55" s="4"/>
      <c r="G55" s="3"/>
      <c r="H55" s="3"/>
    </row>
    <row r="56" spans="1:8" ht="15" customHeight="1" x14ac:dyDescent="0.35">
      <c r="A56" s="3"/>
      <c r="B56" s="3"/>
      <c r="C56" s="3"/>
      <c r="D56" s="3"/>
      <c r="E56" s="3"/>
      <c r="F56" s="4"/>
      <c r="G56" s="3"/>
      <c r="H56" s="3"/>
    </row>
    <row r="57" spans="1:8" ht="15" customHeight="1" x14ac:dyDescent="0.35">
      <c r="A57" s="3"/>
      <c r="B57" s="3"/>
      <c r="C57" s="3"/>
      <c r="D57" s="3"/>
      <c r="E57" s="3"/>
      <c r="F57" s="4"/>
      <c r="G57" s="3"/>
      <c r="H57" s="3"/>
    </row>
    <row r="58" spans="1:8" ht="15" customHeight="1" x14ac:dyDescent="0.35">
      <c r="A58" s="3"/>
      <c r="B58" s="3"/>
      <c r="C58" s="3"/>
      <c r="D58" s="3"/>
      <c r="E58" s="3"/>
      <c r="F58" s="4"/>
      <c r="G58" s="3"/>
      <c r="H58" s="3"/>
    </row>
    <row r="60" spans="1:8" x14ac:dyDescent="0.35">
      <c r="A60" s="12"/>
      <c r="B60" s="10"/>
      <c r="C60" s="10"/>
      <c r="D60" s="10"/>
      <c r="E60" s="10"/>
      <c r="F60" s="10"/>
      <c r="G60" s="10"/>
      <c r="H60" s="11"/>
    </row>
  </sheetData>
  <mergeCells count="1">
    <mergeCell ref="A60:H6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Lists!$M$2:$M$6</xm:f>
          </x14:formula1>
          <x14:formula2>
            <xm:f>0</xm:f>
          </x14:formula2>
          <xm:sqref>H3:H58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18" customWidth="1"/>
    <col min="4" max="4" width="22" customWidth="1"/>
    <col min="5" max="5" width="12" customWidth="1"/>
  </cols>
  <sheetData>
    <row r="1" spans="1:5" ht="17.399999999999999" customHeight="1" x14ac:dyDescent="0.45">
      <c r="A1" s="7" t="s">
        <v>393</v>
      </c>
    </row>
    <row r="3" spans="1:5" ht="15" customHeight="1" x14ac:dyDescent="0.35">
      <c r="A3" s="8" t="s">
        <v>394</v>
      </c>
      <c r="B3" s="8" t="s">
        <v>395</v>
      </c>
      <c r="C3" s="9"/>
      <c r="D3" s="9" t="s">
        <v>396</v>
      </c>
      <c r="E3" s="9" t="s">
        <v>397</v>
      </c>
    </row>
    <row r="4" spans="1:5" ht="15" customHeight="1" x14ac:dyDescent="0.35">
      <c r="A4" s="5" t="s">
        <v>398</v>
      </c>
      <c r="B4" s="5">
        <f>COUNTA('Defect Form'!#REF!)</f>
        <v>1</v>
      </c>
      <c r="D4" t="s">
        <v>33</v>
      </c>
      <c r="E4">
        <f>COUNTIF('Defect Form'!B2:B57,D4)</f>
        <v>3</v>
      </c>
    </row>
    <row r="5" spans="1:5" ht="15" customHeight="1" x14ac:dyDescent="0.35">
      <c r="A5" s="5" t="s">
        <v>399</v>
      </c>
      <c r="B5" s="5">
        <f>COUNTIF('Defect Form'!G2:G57,"Open")</f>
        <v>8</v>
      </c>
      <c r="D5" t="s">
        <v>11</v>
      </c>
      <c r="E5">
        <f>COUNTIF('Defect Form'!B2:B57,D5)</f>
        <v>2</v>
      </c>
    </row>
    <row r="6" spans="1:5" ht="15" customHeight="1" x14ac:dyDescent="0.35">
      <c r="A6" s="5" t="s">
        <v>400</v>
      </c>
      <c r="B6" s="5">
        <f>COUNTIF('Defect Form'!G2:G57,"In Progress")</f>
        <v>5</v>
      </c>
      <c r="D6" t="s">
        <v>27</v>
      </c>
      <c r="E6">
        <f>COUNTIF('Defect Form'!B2:B57,D6)</f>
        <v>4</v>
      </c>
    </row>
    <row r="7" spans="1:5" ht="15" customHeight="1" x14ac:dyDescent="0.35">
      <c r="A7" s="5" t="s">
        <v>401</v>
      </c>
      <c r="B7" s="5">
        <f>COUNTIF('Defect Form'!G2:G57,"Closed")</f>
        <v>3</v>
      </c>
      <c r="D7" t="s">
        <v>19</v>
      </c>
      <c r="E7">
        <f>COUNTIF('Defect Form'!B2:B57,D7)</f>
        <v>2</v>
      </c>
    </row>
    <row r="8" spans="1:5" ht="15" customHeight="1" x14ac:dyDescent="0.35">
      <c r="A8" s="5" t="s">
        <v>45</v>
      </c>
      <c r="B8" s="5">
        <f>COUNTIF('Defect Form'!G2:G57,"Fixed - Verification Pending")</f>
        <v>2</v>
      </c>
      <c r="D8" t="s">
        <v>42</v>
      </c>
      <c r="E8">
        <f>COUNTIF('Defect Form'!B2:B57,D8)</f>
        <v>1</v>
      </c>
    </row>
    <row r="9" spans="1:5" ht="15" customHeight="1" x14ac:dyDescent="0.35">
      <c r="A9" s="5" t="s">
        <v>402</v>
      </c>
      <c r="B9" s="5">
        <f>COUNTIF('Defect Form'!C2:C57,"Critical")</f>
        <v>2</v>
      </c>
      <c r="D9" t="s">
        <v>50</v>
      </c>
      <c r="E9">
        <f>COUNTIF('Defect Form'!B2:B57,D9)</f>
        <v>2</v>
      </c>
    </row>
    <row r="10" spans="1:5" ht="15" customHeight="1" x14ac:dyDescent="0.35">
      <c r="A10" s="5" t="s">
        <v>403</v>
      </c>
      <c r="B10" s="5">
        <f>COUNTIF('Defect Form'!C2:C57,"High")</f>
        <v>7</v>
      </c>
      <c r="D10" t="s">
        <v>61</v>
      </c>
      <c r="E10">
        <f>COUNTIF('Defect Form'!B2:B57,D10)</f>
        <v>2</v>
      </c>
    </row>
    <row r="11" spans="1:5" ht="15" customHeight="1" x14ac:dyDescent="0.35">
      <c r="A11" s="5" t="s">
        <v>404</v>
      </c>
      <c r="B11" s="5">
        <f>COUNTIF('Defect Form'!C2:C57,"Medium")</f>
        <v>6</v>
      </c>
      <c r="D11" t="s">
        <v>82</v>
      </c>
      <c r="E11">
        <f>COUNTIF('Defect Form'!B2:B57,D11)</f>
        <v>1</v>
      </c>
    </row>
    <row r="12" spans="1:5" ht="15" customHeight="1" x14ac:dyDescent="0.35">
      <c r="A12" s="5" t="s">
        <v>405</v>
      </c>
      <c r="B12" s="5">
        <f>COUNTIF('Defect Form'!C2:C57,"Low")</f>
        <v>3</v>
      </c>
      <c r="D12" t="s">
        <v>86</v>
      </c>
      <c r="E12">
        <f>COUNTIF('Defect Form'!B2:B57,D12)</f>
        <v>1</v>
      </c>
    </row>
    <row r="13" spans="1:5" ht="15" customHeight="1" x14ac:dyDescent="0.35">
      <c r="A13" s="5" t="s">
        <v>406</v>
      </c>
      <c r="B13" s="5">
        <f>COUNTIF('Defect Form'!H2:H57,"Yes")</f>
        <v>4</v>
      </c>
    </row>
    <row r="14" spans="1:5" ht="15" customHeight="1" x14ac:dyDescent="0.35">
      <c r="A14" s="5" t="s">
        <v>407</v>
      </c>
      <c r="B14" s="5">
        <f>COUNTIF('Defect Form'!J2:J57,"Yes")</f>
        <v>2</v>
      </c>
    </row>
    <row r="15" spans="1:5" ht="15" customHeight="1" x14ac:dyDescent="0.35">
      <c r="A15" s="5" t="s">
        <v>90</v>
      </c>
      <c r="B15" s="5">
        <f>COUNTA('Quality Plans'!A3:A58)</f>
        <v>16</v>
      </c>
    </row>
    <row r="16" spans="1:5" ht="15" customHeight="1" x14ac:dyDescent="0.35">
      <c r="A16" s="5" t="s">
        <v>408</v>
      </c>
      <c r="B16" s="5">
        <f>COUNTA(Reviews!A3:A58)</f>
        <v>16</v>
      </c>
    </row>
    <row r="17" spans="1:2" ht="15" customHeight="1" x14ac:dyDescent="0.35">
      <c r="A17" s="5" t="s">
        <v>409</v>
      </c>
      <c r="B17" s="5">
        <f>COUNTA(Tests!A3:A58)</f>
        <v>18</v>
      </c>
    </row>
    <row r="18" spans="1:2" x14ac:dyDescent="0.35">
      <c r="A18" s="5" t="s">
        <v>410</v>
      </c>
      <c r="B18" s="5">
        <f>COUNTA(Documents!A3:A58)</f>
        <v>16</v>
      </c>
    </row>
    <row r="19" spans="1:2" x14ac:dyDescent="0.35">
      <c r="A19" s="5" t="s">
        <v>411</v>
      </c>
      <c r="B19" s="5">
        <f>COUNTA(CAPA!A3:A58)</f>
        <v>13</v>
      </c>
    </row>
    <row r="20" spans="1:2" x14ac:dyDescent="0.35">
      <c r="A20" s="5"/>
      <c r="B20" s="5"/>
    </row>
    <row r="21" spans="1:2" x14ac:dyDescent="0.35">
      <c r="A21" s="5"/>
      <c r="B21" s="5"/>
    </row>
    <row r="22" spans="1:2" x14ac:dyDescent="0.35">
      <c r="A22" s="5"/>
      <c r="B22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zoomScaleNormal="100" workbookViewId="0">
      <selection activeCell="B14" sqref="B14"/>
    </sheetView>
  </sheetViews>
  <sheetFormatPr defaultColWidth="8.6328125" defaultRowHeight="14.5" x14ac:dyDescent="0.35"/>
  <cols>
    <col min="1" max="13" width="26" customWidth="1"/>
  </cols>
  <sheetData>
    <row r="1" spans="1:13" ht="15" customHeight="1" x14ac:dyDescent="0.35">
      <c r="A1" s="6" t="s">
        <v>396</v>
      </c>
      <c r="B1" s="6" t="s">
        <v>2</v>
      </c>
      <c r="C1" s="6" t="s">
        <v>412</v>
      </c>
      <c r="D1" s="6" t="s">
        <v>413</v>
      </c>
      <c r="E1" s="6" t="s">
        <v>93</v>
      </c>
      <c r="F1" s="6" t="s">
        <v>414</v>
      </c>
      <c r="G1" s="6" t="s">
        <v>161</v>
      </c>
      <c r="H1" s="6" t="s">
        <v>415</v>
      </c>
      <c r="I1" s="6" t="s">
        <v>416</v>
      </c>
      <c r="J1" s="6" t="s">
        <v>417</v>
      </c>
      <c r="K1" s="6" t="s">
        <v>418</v>
      </c>
      <c r="L1" s="6" t="s">
        <v>419</v>
      </c>
      <c r="M1" s="6" t="s">
        <v>420</v>
      </c>
    </row>
    <row r="2" spans="1:13" ht="15" customHeight="1" x14ac:dyDescent="0.35">
      <c r="A2" t="s">
        <v>33</v>
      </c>
      <c r="B2" t="s">
        <v>28</v>
      </c>
      <c r="C2" t="s">
        <v>24</v>
      </c>
      <c r="D2" t="s">
        <v>17</v>
      </c>
      <c r="E2" t="s">
        <v>150</v>
      </c>
      <c r="F2" t="s">
        <v>421</v>
      </c>
      <c r="G2" t="s">
        <v>166</v>
      </c>
      <c r="H2" t="s">
        <v>193</v>
      </c>
      <c r="I2" t="s">
        <v>272</v>
      </c>
      <c r="J2" t="s">
        <v>422</v>
      </c>
      <c r="K2" t="s">
        <v>284</v>
      </c>
      <c r="L2" t="s">
        <v>421</v>
      </c>
      <c r="M2" t="s">
        <v>24</v>
      </c>
    </row>
    <row r="3" spans="1:13" ht="15" customHeight="1" x14ac:dyDescent="0.35">
      <c r="A3" t="s">
        <v>27</v>
      </c>
      <c r="B3" t="s">
        <v>12</v>
      </c>
      <c r="C3" t="s">
        <v>16</v>
      </c>
      <c r="D3" t="s">
        <v>25</v>
      </c>
      <c r="E3" t="s">
        <v>61</v>
      </c>
      <c r="F3" t="s">
        <v>100</v>
      </c>
      <c r="G3" t="s">
        <v>171</v>
      </c>
      <c r="H3" t="s">
        <v>16</v>
      </c>
      <c r="I3" t="s">
        <v>11</v>
      </c>
      <c r="J3" t="s">
        <v>423</v>
      </c>
      <c r="K3" t="s">
        <v>294</v>
      </c>
      <c r="L3" t="s">
        <v>100</v>
      </c>
      <c r="M3" t="s">
        <v>16</v>
      </c>
    </row>
    <row r="4" spans="1:13" ht="15" customHeight="1" x14ac:dyDescent="0.35">
      <c r="A4" t="s">
        <v>11</v>
      </c>
      <c r="B4" t="s">
        <v>20</v>
      </c>
      <c r="C4" t="s">
        <v>45</v>
      </c>
      <c r="E4" t="s">
        <v>120</v>
      </c>
      <c r="F4" t="s">
        <v>109</v>
      </c>
      <c r="G4" t="s">
        <v>175</v>
      </c>
      <c r="H4" t="s">
        <v>170</v>
      </c>
      <c r="I4" t="s">
        <v>229</v>
      </c>
      <c r="J4" t="s">
        <v>224</v>
      </c>
      <c r="K4" t="s">
        <v>291</v>
      </c>
      <c r="L4" t="s">
        <v>109</v>
      </c>
      <c r="M4" t="s">
        <v>424</v>
      </c>
    </row>
    <row r="5" spans="1:13" ht="15" customHeight="1" x14ac:dyDescent="0.35">
      <c r="A5" t="s">
        <v>61</v>
      </c>
      <c r="B5" t="s">
        <v>37</v>
      </c>
      <c r="C5" t="s">
        <v>48</v>
      </c>
      <c r="E5" t="s">
        <v>86</v>
      </c>
      <c r="F5" t="s">
        <v>425</v>
      </c>
      <c r="G5" t="s">
        <v>202</v>
      </c>
      <c r="H5" t="s">
        <v>109</v>
      </c>
      <c r="I5" t="s">
        <v>276</v>
      </c>
      <c r="J5" t="s">
        <v>426</v>
      </c>
      <c r="K5" t="s">
        <v>300</v>
      </c>
      <c r="L5" t="s">
        <v>427</v>
      </c>
      <c r="M5" t="s">
        <v>428</v>
      </c>
    </row>
    <row r="6" spans="1:13" ht="15" customHeight="1" x14ac:dyDescent="0.35">
      <c r="A6" t="s">
        <v>42</v>
      </c>
      <c r="E6" t="s">
        <v>50</v>
      </c>
      <c r="G6" t="s">
        <v>211</v>
      </c>
      <c r="H6" t="s">
        <v>427</v>
      </c>
      <c r="I6" t="s">
        <v>42</v>
      </c>
      <c r="K6" t="s">
        <v>322</v>
      </c>
      <c r="L6" t="s">
        <v>429</v>
      </c>
      <c r="M6" t="s">
        <v>48</v>
      </c>
    </row>
    <row r="7" spans="1:13" ht="15" customHeight="1" x14ac:dyDescent="0.35">
      <c r="A7" t="s">
        <v>19</v>
      </c>
      <c r="E7" t="s">
        <v>27</v>
      </c>
      <c r="I7" t="s">
        <v>50</v>
      </c>
      <c r="K7" t="s">
        <v>430</v>
      </c>
    </row>
    <row r="8" spans="1:13" ht="15" customHeight="1" x14ac:dyDescent="0.35">
      <c r="A8" t="s">
        <v>50</v>
      </c>
      <c r="K8" t="s">
        <v>431</v>
      </c>
    </row>
    <row r="9" spans="1:13" ht="15" customHeight="1" x14ac:dyDescent="0.35">
      <c r="A9" t="s">
        <v>82</v>
      </c>
      <c r="K9" t="s">
        <v>432</v>
      </c>
    </row>
    <row r="10" spans="1:13" ht="15" customHeight="1" x14ac:dyDescent="0.35">
      <c r="A10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Defect Form</vt:lpstr>
      <vt:lpstr>Quality Plans</vt:lpstr>
      <vt:lpstr>Reviews</vt:lpstr>
      <vt:lpstr>Tests</vt:lpstr>
      <vt:lpstr>Documents</vt:lpstr>
      <vt:lpstr>CAPA</vt:lpstr>
      <vt:lpstr>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 C Sinchana</cp:lastModifiedBy>
  <cp:revision>0</cp:revision>
  <dcterms:created xsi:type="dcterms:W3CDTF">2026-10-26T07:12:58Z</dcterms:created>
  <dcterms:modified xsi:type="dcterms:W3CDTF">2026-10-26T08:00:03Z</dcterms:modified>
  <dc:language>en-US</dc:language>
</cp:coreProperties>
</file>